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fd108c875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Case_Register" sheetId="1" r:id="R3de5cca0da0a4df8"/>
    <x:sheet xmlns:r="http://schemas.openxmlformats.org/officeDocument/2006/relationships" name="Input_Data" sheetId="2" r:id="Rea6d27f6dae94c22"/>
    <x:sheet xmlns:r="http://schemas.openxmlformats.org/officeDocument/2006/relationships" name="Manual_Calculation" sheetId="3" r:id="R00429e4a96394aea"/>
    <x:sheet xmlns:r="http://schemas.openxmlformats.org/officeDocument/2006/relationships" name="Engine_Output" sheetId="4" r:id="R3d50f9f282d340e4"/>
    <x:sheet xmlns:r="http://schemas.openxmlformats.org/officeDocument/2006/relationships" name="Difference_Check" sheetId="5" r:id="Rd3724e0733594793"/>
    <x:sheet xmlns:r="http://schemas.openxmlformats.org/officeDocument/2006/relationships" name="Reviewer_Signoff" sheetId="6" r:id="R8f29a542e209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006100"/>
      </x:font>
      <x:fill>
        <x:patternFill patternType="solid">
          <x:bgColor rgb="E2F0D9"/>
        </x:patternFill>
      </x:fill>
    </x:dxf>
    <x:dxf>
      <x:font>
        <x:b/>
        <x:color rgb="9C0006"/>
      </x:font>
      <x:fill>
        <x:patternFill patternType="solid">
          <x:bgColor rgb="FCE4D6"/>
        </x:patternFill>
      </x:fill>
    </x:dxf>
    <x:dxf>
      <x:font>
        <x:b/>
        <x:color rgb="9C0006"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9049d7ef84cf7" /><Relationship Type="http://schemas.openxmlformats.org/officeDocument/2006/relationships/theme" Target="/xl/theme/theme1.xml" Id="R10261328019c4936" /><Relationship Type="http://schemas.openxmlformats.org/officeDocument/2006/relationships/sharedStrings" Target="/xl/sharedStrings.xml" Id="R419b23fd8a534b89" /><Relationship Type="http://schemas.openxmlformats.org/officeDocument/2006/relationships/worksheet" Target="/xl/worksheets/sheet1.xml" Id="R3de5cca0da0a4df8" /><Relationship Type="http://schemas.openxmlformats.org/officeDocument/2006/relationships/worksheet" Target="/xl/worksheets/sheet2.xml" Id="Rea6d27f6dae94c22" /><Relationship Type="http://schemas.openxmlformats.org/officeDocument/2006/relationships/worksheet" Target="/xl/worksheets/sheet3.xml" Id="R00429e4a96394aea" /><Relationship Type="http://schemas.openxmlformats.org/officeDocument/2006/relationships/worksheet" Target="/xl/worksheets/sheet4.xml" Id="R3d50f9f282d340e4" /><Relationship Type="http://schemas.openxmlformats.org/officeDocument/2006/relationships/worksheet" Target="/xl/worksheets/sheet5.xml" Id="Rd3724e0733594793" /><Relationship Type="http://schemas.openxmlformats.org/officeDocument/2006/relationships/worksheet" Target="/xl/worksheets/sheet6.xml" Id="R8f29a542e2094122" /></Relationships>
</file>

<file path=xl/tables/table1.xml><?xml version="1.0" encoding="utf-8"?>
<x:table xmlns:x="http://schemas.openxmlformats.org/spreadsheetml/2006/main" id="1" name="Test_Case_RegisterTable" displayName="Test_Case_RegisterTable" ref="A1:H9" headerRowCount="1">
  <x:tableColumns count="8">
    <x:tableColumn id="1" name="test_case_id"/>
    <x:tableColumn id="2" name="test_case_name"/>
    <x:tableColumn id="3" name="purpose"/>
    <x:tableColumn id="4" name="input_condition"/>
    <x:tableColumn id="5" name="expected_result"/>
    <x:tableColumn id="6" name="priority"/>
    <x:tableColumn id="7" name="reviewer"/>
    <x:tableColumn id="8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Input_DataTable" displayName="Input_DataTable" ref="A1:I9" headerRowCount="1">
  <x:tableColumns count="9">
    <x:tableColumn id="1" name="test_case_id"/>
    <x:tableColumn id="2" name="asset_tag"/>
    <x:tableColumn id="3" name="component"/>
    <x:tableColumn id="4" name="course_no"/>
    <x:tableColumn id="5" name="previous_thickness_mm"/>
    <x:tableColumn id="6" name="current_thickness_mm"/>
    <x:tableColumn id="7" name="minimum_required_thickness_mm"/>
    <x:tableColumn id="8" name="years_between_inspections"/>
    <x:tableColumn id="9" name="evidence_code"/>
  </x:tableColumns>
  <x:tableStyleInfo name="TableStyleMedium2" showRowStripes="1"/>
</x:table>
</file>

<file path=xl/tables/table3.xml><?xml version="1.0" encoding="utf-8"?>
<x:table xmlns:x="http://schemas.openxmlformats.org/spreadsheetml/2006/main" id="3" name="Manual_CalculationTable" displayName="Manual_CalculationTable" ref="A1:E9" headerRowCount="1">
  <x:tableColumns count="5">
    <x:tableColumn id="1" name="test_case_id"/>
    <x:tableColumn id="2" name="corrosion_rate_mm_y"/>
    <x:tableColumn id="3" name="remaining_life_y"/>
    <x:tableColumn id="4" name="status_expected"/>
    <x:tableColumn id="5" name="warning_expected"/>
  </x:tableColumns>
  <x:tableStyleInfo name="TableStyleMedium2" showRowStripes="1"/>
</x:table>
</file>

<file path=xl/tables/table4.xml><?xml version="1.0" encoding="utf-8"?>
<x:table xmlns:x="http://schemas.openxmlformats.org/spreadsheetml/2006/main" id="4" name="Engine_OutputTable" displayName="Engine_OutputTable" ref="A1:E9" headerRowCount="1">
  <x:tableColumns count="5">
    <x:tableColumn id="1" name="test_case_id"/>
    <x:tableColumn id="2" name="engine_corrosion_rate_mm_y"/>
    <x:tableColumn id="3" name="engine_remaining_life_y"/>
    <x:tableColumn id="4" name="engine_status"/>
    <x:tableColumn id="5" name="engine_warnings"/>
  </x:tableColumns>
  <x:tableStyleInfo name="TableStyleMedium2" showRowStripes="1"/>
</x:table>
</file>

<file path=xl/tables/table5.xml><?xml version="1.0" encoding="utf-8"?>
<x:table xmlns:x="http://schemas.openxmlformats.org/spreadsheetml/2006/main" id="5" name="Difference_CheckTable" displayName="Difference_CheckTable" ref="A1:E9" headerRowCount="1">
  <x:tableColumns count="5">
    <x:tableColumn id="1" name="test_case_id"/>
    <x:tableColumn id="2" name="corrosion_rate_diff"/>
    <x:tableColumn id="3" name="remaining_life_diff"/>
    <x:tableColumn id="4" name="pass_fail"/>
    <x:tableColumn id="5" name="comment"/>
  </x:tableColumns>
  <x:tableStyleInfo name="TableStyleMedium2" showRowStripes="1"/>
</x:table>
</file>

<file path=xl/tables/table6.xml><?xml version="1.0" encoding="utf-8"?>
<x:table xmlns:x="http://schemas.openxmlformats.org/spreadsheetml/2006/main" id="6" name="Reviewer_SignoffTable" displayName="Reviewer_SignoffTable" ref="A1:E2" headerRowCount="1">
  <x:tableColumns count="5">
    <x:tableColumn id="1" name="formula_version"/>
    <x:tableColumn id="2" name="reviewed_by"/>
    <x:tableColumn id="3" name="approved_by"/>
    <x:tableColumn id="4" name="approval_date"/>
    <x:tableColumn id="5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7c98d9a7ad49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04d2600ca948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9df6bcdfa24a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01d1118c7e541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532839342514a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d413e9162c14ad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2" hidden="0" customWidth="1"/>
    <x:col min="4" max="4" width="42" hidden="0" customWidth="1"/>
    <x:col min="5" max="5" width="42" hidden="0" customWidth="1"/>
    <x:col min="6" max="6" width="14" hidden="0" customWidth="1"/>
    <x:col min="7" max="7" width="18" hidden="0" customWidth="1"/>
    <x:col min="8" max="8" width="16" hidden="0" customWidth="1"/>
  </x:cols>
  <x:sheetData>
    <x:row r="1" ht="22" customHeight="1">
      <x:c r="A1" s="10" t="str">
        <x:v>test_case_id</x:v>
      </x:c>
      <x:c r="B1" s="10" t="str">
        <x:v>test_case_name</x:v>
      </x:c>
      <x:c r="C1" s="10" t="str">
        <x:v>purpose</x:v>
      </x:c>
      <x:c r="D1" s="10" t="str">
        <x:v>input_condition</x:v>
      </x:c>
      <x:c r="E1" s="10" t="str">
        <x:v>expected_result</x:v>
      </x:c>
      <x:c r="F1" s="10" t="str">
        <x:v>priority</x:v>
      </x:c>
      <x:c r="G1" s="10" t="str">
        <x:v>reviewer</x:v>
      </x:c>
      <x:c r="H1" s="10" t="str">
        <x:v>status</x:v>
      </x:c>
    </x:row>
    <x:row r="2" ht="22" customHeight="1">
      <x:c r="A2" s="14" t="str">
        <x:v>TC-001</x:v>
      </x:c>
      <x:c r="B2" s="14" t="str">
        <x:v>Normal corrosion rate</x:v>
      </x:c>
      <x:c r="C2" s="14" t="str">
        <x:v>Validate corrosion rate and remaining life for ordinary thinning</x:v>
      </x:c>
      <x:c r="D2" s="14" t="str">
        <x:v>Previous &gt; current, current above minimum, complete evidence</x:v>
      </x:c>
      <x:c r="E2" s="14" t="str">
        <x:v>Numeric corrosion rate and remaining life calculate; status OK</x:v>
      </x:c>
      <x:c r="F2" s="14" t="str">
        <x:v>High</x:v>
      </x:c>
      <x:c r="G2" s="14" t="str">
        <x:v>Lead Engineer</x:v>
      </x:c>
      <x:c r="H2" s="14" t="str">
        <x:v>Draft</x:v>
      </x:c>
    </x:row>
    <x:row r="3" ht="22" customHeight="1">
      <x:c r="A3" s="14" t="str">
        <x:v>TC-002</x:v>
      </x:c>
      <x:c r="B3" s="14" t="str">
        <x:v>Thickness below minimum</x:v>
      </x:c>
      <x:c r="C3" s="14" t="str">
        <x:v>Validate hard gate when current thickness is below minimum required</x:v>
      </x:c>
      <x:c r="D3" s="14" t="str">
        <x:v>Current thickness is below minimum required thickness</x:v>
      </x:c>
      <x:c r="E3" s="14" t="str">
        <x:v>Status BELOW_MIN_REVIEW with mandatory warning</x:v>
      </x:c>
      <x:c r="F3" s="14" t="str">
        <x:v>Critical</x:v>
      </x:c>
      <x:c r="G3" s="14" t="str">
        <x:v>Lead Engineer</x:v>
      </x:c>
      <x:c r="H3" s="14" t="str">
        <x:v>Draft</x:v>
      </x:c>
    </x:row>
    <x:row r="4" ht="22" customHeight="1">
      <x:c r="A4" s="14" t="str">
        <x:v>TC-003</x:v>
      </x:c>
      <x:c r="B4" s="14" t="str">
        <x:v>Zero corrosion rate</x:v>
      </x:c>
      <x:c r="C4" s="14" t="str">
        <x:v>Validate zero measured loss handling without divide-by-zero</x:v>
      </x:c>
      <x:c r="D4" s="14" t="str">
        <x:v>Previous thickness equals current thickness</x:v>
      </x:c>
      <x:c r="E4" s="14" t="str">
        <x:v>Corrosion rate is 0; remaining life is N/A; review warning shown</x:v>
      </x:c>
      <x:c r="F4" s="14" t="str">
        <x:v>High</x:v>
      </x:c>
      <x:c r="G4" s="14" t="str">
        <x:v>Lead Engineer</x:v>
      </x:c>
      <x:c r="H4" s="14" t="str">
        <x:v>Draft</x:v>
      </x:c>
    </x:row>
    <x:row r="5" ht="22" customHeight="1">
      <x:c r="A5" s="14" t="str">
        <x:v>TC-004</x:v>
      </x:c>
      <x:c r="B5" s="14" t="str">
        <x:v>Negative corrosion rate</x:v>
      </x:c>
      <x:c r="C5" s="14" t="str">
        <x:v>Validate data review when current thickness exceeds previous thickness</x:v>
      </x:c>
      <x:c r="D5" s="14" t="str">
        <x:v>Current thickness greater than previous thickness</x:v>
      </x:c>
      <x:c r="E5" s="14" t="str">
        <x:v>Status DATA_REVIEW_REQUIRED with negative rate warning</x:v>
      </x:c>
      <x:c r="F5" s="14" t="str">
        <x:v>High</x:v>
      </x:c>
      <x:c r="G5" s="14" t="str">
        <x:v>Lead Engineer</x:v>
      </x:c>
      <x:c r="H5" s="14" t="str">
        <x:v>Draft</x:v>
      </x:c>
    </x:row>
    <x:row r="6" ht="22" customHeight="1">
      <x:c r="A6" s="14" t="str">
        <x:v>TC-005</x:v>
      </x:c>
      <x:c r="B6" s="14" t="str">
        <x:v>Missing previous thickness</x:v>
      </x:c>
      <x:c r="C6" s="14" t="str">
        <x:v>Validate incomplete input handling</x:v>
      </x:c>
      <x:c r="D6" s="14" t="str">
        <x:v>Previous thickness is missing</x:v>
      </x:c>
      <x:c r="E6" s="14" t="str">
        <x:v>Status INCOMPLETE_INPUT; calculation blocked until data is corrected</x:v>
      </x:c>
      <x:c r="F6" s="14" t="str">
        <x:v>High</x:v>
      </x:c>
      <x:c r="G6" s="14" t="str">
        <x:v>Lead Engineer</x:v>
      </x:c>
      <x:c r="H6" s="14" t="str">
        <x:v>Draft</x:v>
      </x:c>
    </x:row>
    <x:row r="7" ht="22" customHeight="1">
      <x:c r="A7" s="14" t="str">
        <x:v>TC-006</x:v>
      </x:c>
      <x:c r="B7" s="14" t="str">
        <x:v>Missing evidence</x:v>
      </x:c>
      <x:c r="C7" s="14" t="str">
        <x:v>Validate evidence gate</x:v>
      </x:c>
      <x:c r="D7" s="14" t="str">
        <x:v>Numeric data present but evidence_code is blank</x:v>
      </x:c>
      <x:c r="E7" s="14" t="str">
        <x:v>Status BLOCKED_MISSING_EVIDENCE; output not final-use eligible</x:v>
      </x:c>
      <x:c r="F7" s="14" t="str">
        <x:v>Critical</x:v>
      </x:c>
      <x:c r="G7" s="14" t="str">
        <x:v>Lead Engineer</x:v>
      </x:c>
      <x:c r="H7" s="14" t="str">
        <x:v>Draft</x:v>
      </x:c>
    </x:row>
    <x:row r="8" ht="22" customHeight="1">
      <x:c r="A8" s="14" t="str">
        <x:v>TC-007</x:v>
      </x:c>
      <x:c r="B8" s="14" t="str">
        <x:v>Remaining life below threshold</x:v>
      </x:c>
      <x:c r="C8" s="14" t="str">
        <x:v>Validate threshold-based status logic</x:v>
      </x:c>
      <x:c r="D8" s="14" t="str">
        <x:v>Remaining life calculated below MVP action threshold</x:v>
      </x:c>
      <x:c r="E8" s="14" t="str">
        <x:v>Status ACTION_REQUIRED and warning displayed</x:v>
      </x:c>
      <x:c r="F8" s="14" t="str">
        <x:v>High</x:v>
      </x:c>
      <x:c r="G8" s="14" t="str">
        <x:v>Lead Engineer</x:v>
      </x:c>
      <x:c r="H8" s="14" t="str">
        <x:v>Draft</x:v>
      </x:c>
    </x:row>
    <x:row r="9" ht="22" customHeight="1">
      <x:c r="A9" s="14" t="str">
        <x:v>TC-008</x:v>
      </x:c>
      <x:c r="B9" s="14" t="str">
        <x:v>Unit mismatch warning</x:v>
      </x:c>
      <x:c r="C9" s="14" t="str">
        <x:v>Validate suspected unit mismatch handling</x:v>
      </x:c>
      <x:c r="D9" s="14" t="str">
        <x:v>Thickness values appear inconsistent for mm-based input</x:v>
      </x:c>
      <x:c r="E9" s="14" t="str">
        <x:v>Status UNIT_REVIEW_REQUIRED; warning displayed; calculation not accepted</x:v>
      </x:c>
      <x:c r="F9" s="14" t="str">
        <x:v>Medium</x:v>
      </x:c>
      <x:c r="G9" s="14" t="str">
        <x:v>Lead Engineer</x:v>
      </x:c>
      <x:c r="H9" s="14" t="str">
        <x:v>Draft</x:v>
      </x:c>
    </x:row>
  </x:sheetData>
  <x:conditionalFormatting sqref="F2:F100">
    <x:cfRule type="expression" dxfId="2" priority="1">
      <x:formula>F2="Critical"</x:formula>
    </x:cfRule>
  </x:conditionalFormatting>
  <x:dataValidations count="2">
    <x:dataValidation type="list" sqref="F2:F100">
      <x:formula1>"Critical,High,Medium,Low"</x:formula1>
    </x:dataValidation>
    <x:dataValidation type="list" sqref="H2:H100">
      <x:formula1>"Draft,Ready for Review,Reviewed,Approved,Rejected"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7c98d9a7ad49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2" hidden="0" customWidth="1"/>
    <x:col min="5" max="5" width="22" hidden="0" customWidth="1"/>
    <x:col min="6" max="6" width="22" hidden="0" customWidth="1"/>
    <x:col min="7" max="7" width="28" hidden="0" customWidth="1"/>
    <x:col min="8" max="8" width="24" hidden="0" customWidth="1"/>
    <x:col min="9" max="9" width="24" hidden="0" customWidth="1"/>
  </x:cols>
  <x:sheetData>
    <x:row r="1" ht="22" customHeight="1">
      <x:c r="A1" s="10" t="str">
        <x:v>test_case_id</x:v>
      </x:c>
      <x:c r="B1" s="10" t="str">
        <x:v>asset_tag</x:v>
      </x:c>
      <x:c r="C1" s="10" t="str">
        <x:v>component</x:v>
      </x:c>
      <x:c r="D1" s="10" t="str">
        <x:v>course_no</x:v>
      </x:c>
      <x:c r="E1" s="10" t="str">
        <x:v>previous_thickness_mm</x:v>
      </x:c>
      <x:c r="F1" s="10" t="str">
        <x:v>current_thickness_mm</x:v>
      </x:c>
      <x:c r="G1" s="10" t="str">
        <x:v>minimum_required_thickness_mm</x:v>
      </x:c>
      <x:c r="H1" s="10" t="str">
        <x:v>years_between_inspections</x:v>
      </x:c>
      <x:c r="I1" s="10" t="str">
        <x:v>evidence_code</x:v>
      </x:c>
    </x:row>
    <x:row r="2" ht="22" customHeight="1">
      <x:c r="A2" s="14" t="str">
        <x:v>TC-001</x:v>
      </x:c>
      <x:c r="B2" s="14" t="str">
        <x:v>T-001</x:v>
      </x:c>
      <x:c r="C2" s="14" t="str">
        <x:v>Shell</x:v>
      </x:c>
      <x:c r="D2" s="14" t="n">
        <x:v>1</x:v>
      </x:c>
      <x:c r="E2" s="16" t="n">
        <x:v>12</x:v>
      </x:c>
      <x:c r="F2" s="16" t="n">
        <x:v>11.5</x:v>
      </x:c>
      <x:c r="G2" s="16" t="n">
        <x:v>8</x:v>
      </x:c>
      <x:c r="H2" s="16" t="n">
        <x:v>5</x:v>
      </x:c>
      <x:c r="I2" s="14" t="str">
        <x:v>EV-T001-UT-001</x:v>
      </x:c>
    </x:row>
    <x:row r="3" ht="22" customHeight="1">
      <x:c r="A3" s="14" t="str">
        <x:v>TC-002</x:v>
      </x:c>
      <x:c r="B3" s="14" t="str">
        <x:v>T-001</x:v>
      </x:c>
      <x:c r="C3" s="14" t="str">
        <x:v>Shell</x:v>
      </x:c>
      <x:c r="D3" s="14" t="n">
        <x:v>2</x:v>
      </x:c>
      <x:c r="E3" s="16" t="n">
        <x:v>10</x:v>
      </x:c>
      <x:c r="F3" s="16" t="n">
        <x:v>6.8</x:v>
      </x:c>
      <x:c r="G3" s="16" t="n">
        <x:v>7.5</x:v>
      </x:c>
      <x:c r="H3" s="16" t="n">
        <x:v>4</x:v>
      </x:c>
      <x:c r="I3" s="14" t="str">
        <x:v>EV-T001-UT-002</x:v>
      </x:c>
    </x:row>
    <x:row r="4" ht="22" customHeight="1">
      <x:c r="A4" s="14" t="str">
        <x:v>TC-003</x:v>
      </x:c>
      <x:c r="B4" s="14" t="str">
        <x:v>T-002</x:v>
      </x:c>
      <x:c r="C4" s="14" t="str">
        <x:v>Shell</x:v>
      </x:c>
      <x:c r="D4" s="14" t="n">
        <x:v>1</x:v>
      </x:c>
      <x:c r="E4" s="16" t="n">
        <x:v>10</x:v>
      </x:c>
      <x:c r="F4" s="16" t="n">
        <x:v>10</x:v>
      </x:c>
      <x:c r="G4" s="16" t="n">
        <x:v>7</x:v>
      </x:c>
      <x:c r="H4" s="16" t="n">
        <x:v>5</x:v>
      </x:c>
      <x:c r="I4" s="14" t="str">
        <x:v>EV-T002-UT-001</x:v>
      </x:c>
    </x:row>
    <x:row r="5" ht="22" customHeight="1">
      <x:c r="A5" s="14" t="str">
        <x:v>TC-004</x:v>
      </x:c>
      <x:c r="B5" s="14" t="str">
        <x:v>T-002</x:v>
      </x:c>
      <x:c r="C5" s="14" t="str">
        <x:v>Shell</x:v>
      </x:c>
      <x:c r="D5" s="14" t="n">
        <x:v>2</x:v>
      </x:c>
      <x:c r="E5" s="16" t="n">
        <x:v>9.8</x:v>
      </x:c>
      <x:c r="F5" s="16" t="n">
        <x:v>10.1</x:v>
      </x:c>
      <x:c r="G5" s="16" t="n">
        <x:v>7</x:v>
      </x:c>
      <x:c r="H5" s="16" t="n">
        <x:v>5</x:v>
      </x:c>
      <x:c r="I5" s="14" t="str">
        <x:v>EV-T002-UT-002</x:v>
      </x:c>
    </x:row>
    <x:row r="6" ht="22" customHeight="1">
      <x:c r="A6" s="14" t="str">
        <x:v>TC-005</x:v>
      </x:c>
      <x:c r="B6" s="14" t="str">
        <x:v>T-003</x:v>
      </x:c>
      <x:c r="C6" s="14" t="str">
        <x:v>Shell</x:v>
      </x:c>
      <x:c r="D6" s="14" t="n">
        <x:v>1</x:v>
      </x:c>
      <x:c r="E6" s="16"/>
      <x:c r="F6" s="16" t="n">
        <x:v>8.8</x:v>
      </x:c>
      <x:c r="G6" s="16" t="n">
        <x:v>7</x:v>
      </x:c>
      <x:c r="H6" s="16" t="n">
        <x:v>5</x:v>
      </x:c>
      <x:c r="I6" s="14" t="str">
        <x:v>EV-T003-UT-001</x:v>
      </x:c>
    </x:row>
    <x:row r="7" ht="22" customHeight="1">
      <x:c r="A7" s="14" t="str">
        <x:v>TC-006</x:v>
      </x:c>
      <x:c r="B7" s="14" t="str">
        <x:v>T-004</x:v>
      </x:c>
      <x:c r="C7" s="14" t="str">
        <x:v>Shell</x:v>
      </x:c>
      <x:c r="D7" s="14" t="n">
        <x:v>1</x:v>
      </x:c>
      <x:c r="E7" s="16" t="n">
        <x:v>12.5</x:v>
      </x:c>
      <x:c r="F7" s="16" t="n">
        <x:v>12</x:v>
      </x:c>
      <x:c r="G7" s="16" t="n">
        <x:v>8</x:v>
      </x:c>
      <x:c r="H7" s="16" t="n">
        <x:v>5</x:v>
      </x:c>
      <x:c r="I7" s="14" t="str"/>
    </x:row>
    <x:row r="8" ht="22" customHeight="1">
      <x:c r="A8" s="14" t="str">
        <x:v>TC-007</x:v>
      </x:c>
      <x:c r="B8" s="14" t="str">
        <x:v>T-005</x:v>
      </x:c>
      <x:c r="C8" s="14" t="str">
        <x:v>Shell</x:v>
      </x:c>
      <x:c r="D8" s="14" t="n">
        <x:v>3</x:v>
      </x:c>
      <x:c r="E8" s="16" t="n">
        <x:v>9</x:v>
      </x:c>
      <x:c r="F8" s="16" t="n">
        <x:v>7.6</x:v>
      </x:c>
      <x:c r="G8" s="16" t="n">
        <x:v>7</x:v>
      </x:c>
      <x:c r="H8" s="16" t="n">
        <x:v>4</x:v>
      </x:c>
      <x:c r="I8" s="14" t="str">
        <x:v>EV-T005-UT-003</x:v>
      </x:c>
    </x:row>
    <x:row r="9" ht="22" customHeight="1">
      <x:c r="A9" s="14" t="str">
        <x:v>TC-008</x:v>
      </x:c>
      <x:c r="B9" s="14" t="str">
        <x:v>T-006</x:v>
      </x:c>
      <x:c r="C9" s="14" t="str">
        <x:v>Shell</x:v>
      </x:c>
      <x:c r="D9" s="14" t="n">
        <x:v>1</x:v>
      </x:c>
      <x:c r="E9" s="16" t="n">
        <x:v>0.5</x:v>
      </x:c>
      <x:c r="F9" s="16" t="n">
        <x:v>12</x:v>
      </x:c>
      <x:c r="G9" s="16" t="n">
        <x:v>8</x:v>
      </x:c>
      <x:c r="H9" s="16" t="n">
        <x:v>5</x:v>
      </x:c>
      <x:c r="I9" s="14" t="str">
        <x:v>EV-T006-UT-001</x:v>
      </x:c>
    </x:row>
  </x:sheetData>
  <x:pageMargins left="0.7" right="0.7" top="0.75" bottom="0.75" header="0.3" footer="0.3"/>
  <x:tableParts count="1">
    <x:tablePart xmlns:r="http://schemas.openxmlformats.org/officeDocument/2006/relationships" r:id="R0704d2600ca948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0" hidden="0" customWidth="1"/>
    <x:col min="4" max="4" width="24" hidden="0" customWidth="1"/>
    <x:col min="5" max="5" width="56" hidden="0" customWidth="1"/>
  </x:cols>
  <x:sheetData>
    <x:row r="1" ht="22" customHeight="1">
      <x:c r="A1" s="10" t="str">
        <x:v>test_case_id</x:v>
      </x:c>
      <x:c r="B1" s="10" t="str">
        <x:v>corrosion_rate_mm_y</x:v>
      </x:c>
      <x:c r="C1" s="10" t="str">
        <x:v>remaining_life_y</x:v>
      </x:c>
      <x:c r="D1" s="10" t="str">
        <x:v>status_expected</x:v>
      </x:c>
      <x:c r="E1" s="10" t="str">
        <x:v>warning_expected</x:v>
      </x:c>
    </x:row>
    <x:row r="2" ht="22" customHeight="1">
      <x:c r="A2" s="14" t="str">
        <x:v>TC-001</x:v>
      </x:c>
      <x:c r="B2" s="16" t="n">
        <x:v>0.1</x:v>
      </x:c>
      <x:c r="C2" s="16" t="n">
        <x:v>35</x:v>
      </x:c>
      <x:c r="D2" s="14" t="str">
        <x:v>OK</x:v>
      </x:c>
      <x:c r="E2" s="14" t="str"/>
    </x:row>
    <x:row r="3" ht="22" customHeight="1">
      <x:c r="A3" s="14" t="str">
        <x:v>TC-002</x:v>
      </x:c>
      <x:c r="B3" s="16" t="n">
        <x:v>0.8</x:v>
      </x:c>
      <x:c r="C3" s="16" t="n">
        <x:v>-0.875</x:v>
      </x:c>
      <x:c r="D3" s="14" t="str">
        <x:v>BELOW_MIN_REVIEW</x:v>
      </x:c>
      <x:c r="E3" s="14" t="str">
        <x:v>Current thickness is below minimum required thickness.</x:v>
      </x:c>
    </x:row>
    <x:row r="4" ht="22" customHeight="1">
      <x:c r="A4" s="14" t="str">
        <x:v>TC-003</x:v>
      </x:c>
      <x:c r="B4" s="16" t="n">
        <x:v>0</x:v>
      </x:c>
      <x:c r="C4" s="16" t="str">
        <x:v>N/A</x:v>
      </x:c>
      <x:c r="D4" s="14" t="str">
        <x:v>OK_ZERO_RATE_REVIEW</x:v>
      </x:c>
      <x:c r="E4" s="14" t="str">
        <x:v>Zero corrosion rate; remaining life is not finite under the MVP formula.</x:v>
      </x:c>
    </x:row>
    <x:row r="5" ht="22" customHeight="1">
      <x:c r="A5" s="14" t="str">
        <x:v>TC-004</x:v>
      </x:c>
      <x:c r="B5" s="16" t="n">
        <x:v>-0.06</x:v>
      </x:c>
      <x:c r="C5" s="16" t="str">
        <x:v>N/A</x:v>
      </x:c>
      <x:c r="D5" s="14" t="str">
        <x:v>DATA_REVIEW_REQUIRED</x:v>
      </x:c>
      <x:c r="E5" s="14" t="str">
        <x:v>Negative corrosion rate; verify inspection dates, thickness values, and source evidence.</x:v>
      </x:c>
    </x:row>
    <x:row r="6" ht="22" customHeight="1">
      <x:c r="A6" s="14" t="str">
        <x:v>TC-005</x:v>
      </x:c>
      <x:c r="B6" s="16" t="str">
        <x:v>N/A</x:v>
      </x:c>
      <x:c r="C6" s="16" t="str">
        <x:v>N/A</x:v>
      </x:c>
      <x:c r="D6" s="14" t="str">
        <x:v>INCOMPLETE_INPUT</x:v>
      </x:c>
      <x:c r="E6" s="14" t="str">
        <x:v>Previous thickness is missing; calculation cannot be finalized.</x:v>
      </x:c>
    </x:row>
    <x:row r="7" ht="22" customHeight="1">
      <x:c r="A7" s="14" t="str">
        <x:v>TC-006</x:v>
      </x:c>
      <x:c r="B7" s="16" t="n">
        <x:v>0.1</x:v>
      </x:c>
      <x:c r="C7" s="16" t="n">
        <x:v>40</x:v>
      </x:c>
      <x:c r="D7" s="14" t="str">
        <x:v>BLOCKED_MISSING_EVIDENCE</x:v>
      </x:c>
      <x:c r="E7" s="14" t="str">
        <x:v>Evidence code is missing; calculation cannot be promoted or issued.</x:v>
      </x:c>
    </x:row>
    <x:row r="8" ht="22" customHeight="1">
      <x:c r="A8" s="14" t="str">
        <x:v>TC-007</x:v>
      </x:c>
      <x:c r="B8" s="16" t="n">
        <x:v>0.35</x:v>
      </x:c>
      <x:c r="C8" s="16" t="n">
        <x:v>1.714285714</x:v>
      </x:c>
      <x:c r="D8" s="14" t="str">
        <x:v>ACTION_REQUIRED</x:v>
      </x:c>
      <x:c r="E8" s="14" t="str">
        <x:v>Remaining life is below the MVP action threshold.</x:v>
      </x:c>
    </x:row>
    <x:row r="9" ht="22" customHeight="1">
      <x:c r="A9" s="14" t="str">
        <x:v>TC-008</x:v>
      </x:c>
      <x:c r="B9" s="16" t="str">
        <x:v>N/A</x:v>
      </x:c>
      <x:c r="C9" s="16" t="str">
        <x:v>N/A</x:v>
      </x:c>
      <x:c r="D9" s="14" t="str">
        <x:v>UNIT_REVIEW_REQUIRED</x:v>
      </x:c>
      <x:c r="E9" s="14" t="str">
        <x:v>Unit mismatch suspected; input values must be verified before calculation.</x:v>
      </x:c>
    </x:row>
  </x:sheetData>
  <x:pageMargins left="0.7" right="0.7" top="0.75" bottom="0.75" header="0.3" footer="0.3"/>
  <x:tableParts count="1">
    <x:tablePart xmlns:r="http://schemas.openxmlformats.org/officeDocument/2006/relationships" r:id="Rd09df6bcdfa24a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4" hidden="0" customWidth="1"/>
    <x:col min="4" max="4" width="24" hidden="0" customWidth="1"/>
    <x:col min="5" max="5" width="56" hidden="0" customWidth="1"/>
  </x:cols>
  <x:sheetData>
    <x:row r="1" ht="22" customHeight="1">
      <x:c r="A1" s="10" t="str">
        <x:v>test_case_id</x:v>
      </x:c>
      <x:c r="B1" s="10" t="str">
        <x:v>engine_corrosion_rate_mm_y</x:v>
      </x:c>
      <x:c r="C1" s="10" t="str">
        <x:v>engine_remaining_life_y</x:v>
      </x:c>
      <x:c r="D1" s="10" t="str">
        <x:v>engine_status</x:v>
      </x:c>
      <x:c r="E1" s="10" t="str">
        <x:v>engine_warnings</x:v>
      </x:c>
    </x:row>
    <x:row r="2" ht="22" customHeight="1">
      <x:c r="A2" s="14" t="str">
        <x:v>TC-001</x:v>
      </x:c>
      <x:c r="B2" s="16" t="n">
        <x:v>0.1</x:v>
      </x:c>
      <x:c r="C2" s="16" t="n">
        <x:v>35</x:v>
      </x:c>
      <x:c r="D2" s="14" t="str">
        <x:v>OK</x:v>
      </x:c>
      <x:c r="E2" s="14" t="str"/>
    </x:row>
    <x:row r="3" ht="22" customHeight="1">
      <x:c r="A3" s="14" t="str">
        <x:v>TC-002</x:v>
      </x:c>
      <x:c r="B3" s="16" t="n">
        <x:v>0.8</x:v>
      </x:c>
      <x:c r="C3" s="16" t="n">
        <x:v>-0.875</x:v>
      </x:c>
      <x:c r="D3" s="14" t="str">
        <x:v>BELOW_MIN_REVIEW</x:v>
      </x:c>
      <x:c r="E3" s="14" t="str">
        <x:v>Current thickness is below minimum required thickness.</x:v>
      </x:c>
    </x:row>
    <x:row r="4" ht="22" customHeight="1">
      <x:c r="A4" s="14" t="str">
        <x:v>TC-003</x:v>
      </x:c>
      <x:c r="B4" s="16" t="n">
        <x:v>0</x:v>
      </x:c>
      <x:c r="C4" s="16" t="str">
        <x:v>N/A</x:v>
      </x:c>
      <x:c r="D4" s="14" t="str">
        <x:v>OK_ZERO_RATE_REVIEW</x:v>
      </x:c>
      <x:c r="E4" s="14" t="str">
        <x:v>Zero corrosion rate; remaining life is not finite under the MVP formula.</x:v>
      </x:c>
    </x:row>
    <x:row r="5" ht="22" customHeight="1">
      <x:c r="A5" s="14" t="str">
        <x:v>TC-004</x:v>
      </x:c>
      <x:c r="B5" s="16" t="n">
        <x:v>-0.06</x:v>
      </x:c>
      <x:c r="C5" s="16" t="str">
        <x:v>N/A</x:v>
      </x:c>
      <x:c r="D5" s="14" t="str">
        <x:v>DATA_REVIEW_REQUIRED</x:v>
      </x:c>
      <x:c r="E5" s="14" t="str">
        <x:v>Negative corrosion rate; verify inspection dates, thickness values, and source evidence.</x:v>
      </x:c>
    </x:row>
    <x:row r="6" ht="22" customHeight="1">
      <x:c r="A6" s="14" t="str">
        <x:v>TC-005</x:v>
      </x:c>
      <x:c r="B6" s="16" t="str">
        <x:v>N/A</x:v>
      </x:c>
      <x:c r="C6" s="16" t="str">
        <x:v>N/A</x:v>
      </x:c>
      <x:c r="D6" s="14" t="str">
        <x:v>INCOMPLETE_INPUT</x:v>
      </x:c>
      <x:c r="E6" s="14" t="str">
        <x:v>Previous thickness is missing; calculation cannot be finalized.</x:v>
      </x:c>
    </x:row>
    <x:row r="7" ht="22" customHeight="1">
      <x:c r="A7" s="14" t="str">
        <x:v>TC-006</x:v>
      </x:c>
      <x:c r="B7" s="16" t="n">
        <x:v>0.1</x:v>
      </x:c>
      <x:c r="C7" s="16" t="n">
        <x:v>40</x:v>
      </x:c>
      <x:c r="D7" s="14" t="str">
        <x:v>BLOCKED_MISSING_EVIDENCE</x:v>
      </x:c>
      <x:c r="E7" s="14" t="str">
        <x:v>Evidence code is missing; calculation cannot be promoted or issued.</x:v>
      </x:c>
    </x:row>
    <x:row r="8" ht="22" customHeight="1">
      <x:c r="A8" s="14" t="str">
        <x:v>TC-007</x:v>
      </x:c>
      <x:c r="B8" s="16" t="n">
        <x:v>0.35</x:v>
      </x:c>
      <x:c r="C8" s="16" t="n">
        <x:v>1.714285714</x:v>
      </x:c>
      <x:c r="D8" s="14" t="str">
        <x:v>ACTION_REQUIRED</x:v>
      </x:c>
      <x:c r="E8" s="14" t="str">
        <x:v>Remaining life is below the MVP action threshold.</x:v>
      </x:c>
    </x:row>
    <x:row r="9" ht="22" customHeight="1">
      <x:c r="A9" s="14" t="str">
        <x:v>TC-008</x:v>
      </x:c>
      <x:c r="B9" s="16" t="str">
        <x:v>N/A</x:v>
      </x:c>
      <x:c r="C9" s="16" t="str">
        <x:v>N/A</x:v>
      </x:c>
      <x:c r="D9" s="14" t="str">
        <x:v>UNIT_REVIEW_REQUIRED</x:v>
      </x:c>
      <x:c r="E9" s="14" t="str">
        <x:v>Unit mismatch suspected; input values must be verified before calculation.</x:v>
      </x:c>
    </x:row>
  </x:sheetData>
  <x:pageMargins left="0.7" right="0.7" top="0.75" bottom="0.75" header="0.3" footer="0.3"/>
  <x:tableParts count="1">
    <x:tablePart xmlns:r="http://schemas.openxmlformats.org/officeDocument/2006/relationships" r:id="Rd01d1118c7e541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14" hidden="0" customWidth="1"/>
    <x:col min="5" max="5" width="58" hidden="0" customWidth="1"/>
  </x:cols>
  <x:sheetData>
    <x:row r="1" ht="22" customHeight="1">
      <x:c r="A1" s="10" t="str">
        <x:v>test_case_id</x:v>
      </x:c>
      <x:c r="B1" s="10" t="str">
        <x:v>corrosion_rate_diff</x:v>
      </x:c>
      <x:c r="C1" s="10" t="str">
        <x:v>remaining_life_diff</x:v>
      </x:c>
      <x:c r="D1" s="10" t="str">
        <x:v>pass_fail</x:v>
      </x:c>
      <x:c r="E1" s="10" t="str">
        <x:v>comment</x:v>
      </x:c>
    </x:row>
    <x:row r="2" ht="22" customHeight="1">
      <x:c r="A2" s="14" t="str">
        <x:v>TC-001</x:v>
      </x:c>
      <x:c r="B2" s="18" t="n">
        <x:f>IF(OR(NOT(ISNUMBER(Manual_Calculation!B2)),NOT(ISNUMBER(Engine_Output!B2))),"N/A",ROUND(ABS(Manual_Calculation!B2-Engine_Output!B2),6))</x:f>
        <x:v>0</x:v>
      </x:c>
      <x:c r="C2" s="18" t="n">
        <x:f>IF(OR(NOT(ISNUMBER(Manual_Calculation!C2)),NOT(ISNUMBER(Engine_Output!C2))),"N/A",ROUND(ABS(Manual_Calculation!C2-Engine_Output!C2),6))</x:f>
        <x:v>0</x:v>
      </x:c>
      <x:c r="D2" s="14" t="str">
        <x:f>IF(AND(OR(B2="N/A",B2&lt;=0.0001),OR(C2="N/A",C2&lt;=0.0001),Manual_Calculation!D2=Engine_Output!D2,Manual_Calculation!E2=Engine_Output!E2),"PASS","FAIL")</x:f>
        <x:v>PASS</x:v>
      </x:c>
      <x:c r="E2" s="14" t="str">
        <x:f>IF(D2="PASS","Manual expected result matches seeded engine output. Replace Engine_Output with actual engine result during validation.","Mismatch detected. Review formula version, input data, warning logic, and evidence gate.")</x:f>
        <x:v>Manual expected result matches seeded engine output. Replace Engine_Output with actual engine result during validation.</x:v>
      </x:c>
    </x:row>
    <x:row r="3" ht="22" customHeight="1">
      <x:c r="A3" s="14" t="str">
        <x:v>TC-002</x:v>
      </x:c>
      <x:c r="B3" s="18" t="n">
        <x:f>IF(OR(NOT(ISNUMBER(Manual_Calculation!B3)),NOT(ISNUMBER(Engine_Output!B3))),"N/A",ROUND(ABS(Manual_Calculation!B3-Engine_Output!B3),6))</x:f>
        <x:v>0</x:v>
      </x:c>
      <x:c r="C3" s="18" t="n">
        <x:f>IF(OR(NOT(ISNUMBER(Manual_Calculation!C3)),NOT(ISNUMBER(Engine_Output!C3))),"N/A",ROUND(ABS(Manual_Calculation!C3-Engine_Output!C3),6))</x:f>
        <x:v>0</x:v>
      </x:c>
      <x:c r="D3" s="14" t="str">
        <x:f>IF(AND(OR(B3="N/A",B3&lt;=0.0001),OR(C3="N/A",C3&lt;=0.0001),Manual_Calculation!D3=Engine_Output!D3,Manual_Calculation!E3=Engine_Output!E3),"PASS","FAIL")</x:f>
        <x:v>PASS</x:v>
      </x:c>
      <x:c r="E3" s="14" t="str">
        <x:f>IF(D3="PASS","Manual expected result matches seeded engine output. Replace Engine_Output with actual engine result during validation.","Mismatch detected. Review formula version, input data, warning logic, and evidence gate.")</x:f>
        <x:v>Manual expected result matches seeded engine output. Replace Engine_Output with actual engine result during validation.</x:v>
      </x:c>
    </x:row>
    <x:row r="4" ht="22" customHeight="1">
      <x:c r="A4" s="14" t="str">
        <x:v>TC-003</x:v>
      </x:c>
      <x:c r="B4" s="18" t="n">
        <x:f>IF(OR(NOT(ISNUMBER(Manual_Calculation!B4)),NOT(ISNUMBER(Engine_Output!B4))),"N/A",ROUND(ABS(Manual_Calculation!B4-Engine_Output!B4),6))</x:f>
        <x:v>0</x:v>
      </x:c>
      <x:c r="C4" s="18" t="str">
        <x:f>IF(OR(NOT(ISNUMBER(Manual_Calculation!C4)),NOT(ISNUMBER(Engine_Output!C4))),"N/A",ROUND(ABS(Manual_Calculation!C4-Engine_Output!C4),6))</x:f>
        <x:v>N/A</x:v>
      </x:c>
      <x:c r="D4" s="14" t="str">
        <x:f>IF(AND(OR(B4="N/A",B4&lt;=0.0001),OR(C4="N/A",C4&lt;=0.0001),Manual_Calculation!D4=Engine_Output!D4,Manual_Calculation!E4=Engine_Output!E4),"PASS","FAIL")</x:f>
        <x:v>PASS</x:v>
      </x:c>
      <x:c r="E4" s="14" t="str">
        <x:f>IF(D4="PASS","Manual expected result matches seeded engine output. Replace Engine_Output with actual engine result during validation.","Mismatch detected. Review formula version, input data, warning logic, and evidence gate.")</x:f>
        <x:v>Manual expected result matches seeded engine output. Replace Engine_Output with actual engine result during validation.</x:v>
      </x:c>
    </x:row>
    <x:row r="5" ht="22" customHeight="1">
      <x:c r="A5" s="14" t="str">
        <x:v>TC-004</x:v>
      </x:c>
      <x:c r="B5" s="18" t="n">
        <x:f>IF(OR(NOT(ISNUMBER(Manual_Calculation!B5)),NOT(ISNUMBER(Engine_Output!B5))),"N/A",ROUND(ABS(Manual_Calculation!B5-Engine_Output!B5),6))</x:f>
        <x:v>0</x:v>
      </x:c>
      <x:c r="C5" s="18" t="str">
        <x:f>IF(OR(NOT(ISNUMBER(Manual_Calculation!C5)),NOT(ISNUMBER(Engine_Output!C5))),"N/A",ROUND(ABS(Manual_Calculation!C5-Engine_Output!C5),6))</x:f>
        <x:v>N/A</x:v>
      </x:c>
      <x:c r="D5" s="14" t="str">
        <x:f>IF(AND(OR(B5="N/A",B5&lt;=0.0001),OR(C5="N/A",C5&lt;=0.0001),Manual_Calculation!D5=Engine_Output!D5,Manual_Calculation!E5=Engine_Output!E5),"PASS","FAIL")</x:f>
        <x:v>PASS</x:v>
      </x:c>
      <x:c r="E5" s="14" t="str">
        <x:f>IF(D5="PASS","Manual expected result matches seeded engine output. Replace Engine_Output with actual engine result during validation.","Mismatch detected. Review formula version, input data, warning logic, and evidence gate.")</x:f>
        <x:v>Manual expected result matches seeded engine output. Replace Engine_Output with actual engine result during validation.</x:v>
      </x:c>
    </x:row>
    <x:row r="6" ht="22" customHeight="1">
      <x:c r="A6" s="14" t="str">
        <x:v>TC-005</x:v>
      </x:c>
      <x:c r="B6" s="18" t="str">
        <x:f>IF(OR(NOT(ISNUMBER(Manual_Calculation!B6)),NOT(ISNUMBER(Engine_Output!B6))),"N/A",ROUND(ABS(Manual_Calculation!B6-Engine_Output!B6),6))</x:f>
        <x:v>N/A</x:v>
      </x:c>
      <x:c r="C6" s="18" t="str">
        <x:f>IF(OR(NOT(ISNUMBER(Manual_Calculation!C6)),NOT(ISNUMBER(Engine_Output!C6))),"N/A",ROUND(ABS(Manual_Calculation!C6-Engine_Output!C6),6))</x:f>
        <x:v>N/A</x:v>
      </x:c>
      <x:c r="D6" s="14" t="str">
        <x:f>IF(AND(OR(B6="N/A",B6&lt;=0.0001),OR(C6="N/A",C6&lt;=0.0001),Manual_Calculation!D6=Engine_Output!D6,Manual_Calculation!E6=Engine_Output!E6),"PASS","FAIL")</x:f>
        <x:v>PASS</x:v>
      </x:c>
      <x:c r="E6" s="14" t="str">
        <x:f>IF(D6="PASS","Manual expected result matches seeded engine output. Replace Engine_Output with actual engine result during validation.","Mismatch detected. Review formula version, input data, warning logic, and evidence gate.")</x:f>
        <x:v>Manual expected result matches seeded engine output. Replace Engine_Output with actual engine result during validation.</x:v>
      </x:c>
    </x:row>
    <x:row r="7" ht="22" customHeight="1">
      <x:c r="A7" s="14" t="str">
        <x:v>TC-006</x:v>
      </x:c>
      <x:c r="B7" s="18" t="n">
        <x:f>IF(OR(NOT(ISNUMBER(Manual_Calculation!B7)),NOT(ISNUMBER(Engine_Output!B7))),"N/A",ROUND(ABS(Manual_Calculation!B7-Engine_Output!B7),6))</x:f>
        <x:v>0</x:v>
      </x:c>
      <x:c r="C7" s="18" t="n">
        <x:f>IF(OR(NOT(ISNUMBER(Manual_Calculation!C7)),NOT(ISNUMBER(Engine_Output!C7))),"N/A",ROUND(ABS(Manual_Calculation!C7-Engine_Output!C7),6))</x:f>
        <x:v>0</x:v>
      </x:c>
      <x:c r="D7" s="14" t="str">
        <x:f>IF(AND(OR(B7="N/A",B7&lt;=0.0001),OR(C7="N/A",C7&lt;=0.0001),Manual_Calculation!D7=Engine_Output!D7,Manual_Calculation!E7=Engine_Output!E7),"PASS","FAIL")</x:f>
        <x:v>PASS</x:v>
      </x:c>
      <x:c r="E7" s="14" t="str">
        <x:f>IF(D7="PASS","Manual expected result matches seeded engine output. Replace Engine_Output with actual engine result during validation.","Mismatch detected. Review formula version, input data, warning logic, and evidence gate.")</x:f>
        <x:v>Manual expected result matches seeded engine output. Replace Engine_Output with actual engine result during validation.</x:v>
      </x:c>
    </x:row>
    <x:row r="8" ht="22" customHeight="1">
      <x:c r="A8" s="14" t="str">
        <x:v>TC-007</x:v>
      </x:c>
      <x:c r="B8" s="18" t="n">
        <x:f>IF(OR(NOT(ISNUMBER(Manual_Calculation!B8)),NOT(ISNUMBER(Engine_Output!B8))),"N/A",ROUND(ABS(Manual_Calculation!B8-Engine_Output!B8),6))</x:f>
        <x:v>0</x:v>
      </x:c>
      <x:c r="C8" s="18" t="n">
        <x:f>IF(OR(NOT(ISNUMBER(Manual_Calculation!C8)),NOT(ISNUMBER(Engine_Output!C8))),"N/A",ROUND(ABS(Manual_Calculation!C8-Engine_Output!C8),6))</x:f>
        <x:v>0</x:v>
      </x:c>
      <x:c r="D8" s="14" t="str">
        <x:f>IF(AND(OR(B8="N/A",B8&lt;=0.0001),OR(C8="N/A",C8&lt;=0.0001),Manual_Calculation!D8=Engine_Output!D8,Manual_Calculation!E8=Engine_Output!E8),"PASS","FAIL")</x:f>
        <x:v>PASS</x:v>
      </x:c>
      <x:c r="E8" s="14" t="str">
        <x:f>IF(D8="PASS","Manual expected result matches seeded engine output. Replace Engine_Output with actual engine result during validation.","Mismatch detected. Review formula version, input data, warning logic, and evidence gate.")</x:f>
        <x:v>Manual expected result matches seeded engine output. Replace Engine_Output with actual engine result during validation.</x:v>
      </x:c>
    </x:row>
    <x:row r="9" ht="22" customHeight="1">
      <x:c r="A9" s="14" t="str">
        <x:v>TC-008</x:v>
      </x:c>
      <x:c r="B9" s="18" t="str">
        <x:f>IF(OR(NOT(ISNUMBER(Manual_Calculation!B9)),NOT(ISNUMBER(Engine_Output!B9))),"N/A",ROUND(ABS(Manual_Calculation!B9-Engine_Output!B9),6))</x:f>
        <x:v>N/A</x:v>
      </x:c>
      <x:c r="C9" s="18" t="str">
        <x:f>IF(OR(NOT(ISNUMBER(Manual_Calculation!C9)),NOT(ISNUMBER(Engine_Output!C9))),"N/A",ROUND(ABS(Manual_Calculation!C9-Engine_Output!C9),6))</x:f>
        <x:v>N/A</x:v>
      </x:c>
      <x:c r="D9" s="14" t="str">
        <x:f>IF(AND(OR(B9="N/A",B9&lt;=0.0001),OR(C9="N/A",C9&lt;=0.0001),Manual_Calculation!D9=Engine_Output!D9,Manual_Calculation!E9=Engine_Output!E9),"PASS","FAIL")</x:f>
        <x:v>PASS</x:v>
      </x:c>
      <x:c r="E9" s="14" t="str">
        <x:f>IF(D9="PASS","Manual expected result matches seeded engine output. Replace Engine_Output with actual engine result during validation.","Mismatch detected. Review formula version, input data, warning logic, and evidence gate.")</x:f>
        <x:v>Manual expected result matches seeded engine output. Replace Engine_Output with actual engine result during validation.</x:v>
      </x:c>
    </x:row>
  </x:sheetData>
  <x:conditionalFormatting sqref="D2:D100">
    <x:cfRule type="expression" dxfId="0" priority="1">
      <x:formula>D2="PASS"</x:formula>
    </x:cfRule>
    <x:cfRule type="expression" dxfId="1" priority="2">
      <x:formula>D2="FAIL"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32839342514ad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8" hidden="0" customWidth="1"/>
    <x:col min="5" max="5" width="60" hidden="0" customWidth="1"/>
  </x:cols>
  <x:sheetData>
    <x:row r="1" ht="22" customHeight="1">
      <x:c r="A1" s="10" t="str">
        <x:v>formula_version</x:v>
      </x:c>
      <x:c r="B1" s="10" t="str">
        <x:v>reviewed_by</x:v>
      </x:c>
      <x:c r="C1" s="10" t="str">
        <x:v>approved_by</x:v>
      </x:c>
      <x:c r="D1" s="10" t="str">
        <x:v>approval_date</x:v>
      </x:c>
      <x:c r="E1" s="10" t="str">
        <x:v>comment</x:v>
      </x:c>
    </x:row>
    <x:row r="2" ht="22" customHeight="1">
      <x:c r="A2" s="14" t="str">
        <x:v>AIM-MVP-FORMULA-v0.1</x:v>
      </x:c>
      <x:c r="B2" s="14" t="str"/>
      <x:c r="C2" s="14" t="str"/>
      <x:c r="D2" s="20" t="str"/>
      <x:c r="E2" s="14" t="str">
        <x:v>Pending engineer review and approval before production use.</x:v>
      </x:c>
    </x:row>
    <x:row r="3">
      <x:c r="D3" s="21"/>
    </x:row>
    <x:row r="4">
      <x:c r="D4" s="21"/>
    </x:row>
    <x:row r="5">
      <x:c r="D5" s="21"/>
    </x:row>
    <x:row r="6">
      <x:c r="D6" s="21"/>
    </x:row>
    <x:row r="7">
      <x:c r="D7" s="21"/>
    </x:row>
    <x:row r="8">
      <x:c r="D8" s="21"/>
    </x:row>
    <x:row r="9">
      <x:c r="D9" s="21"/>
    </x:row>
    <x:row r="10">
      <x:c r="D10" s="21"/>
    </x:row>
    <x:row r="11">
      <x:c r="D11" s="21"/>
    </x:row>
    <x:row r="12">
      <x:c r="D12" s="21"/>
    </x:row>
    <x:row r="13">
      <x:c r="D13" s="21"/>
    </x:row>
    <x:row r="14">
      <x:c r="D14" s="21"/>
    </x:row>
    <x:row r="15">
      <x:c r="D15" s="21"/>
    </x:row>
    <x:row r="16">
      <x:c r="D16" s="21"/>
    </x:row>
    <x:row r="17">
      <x:c r="D17" s="21"/>
    </x:row>
    <x:row r="18">
      <x:c r="D18" s="21"/>
    </x:row>
    <x:row r="19">
      <x:c r="D19" s="21"/>
    </x:row>
    <x:row r="20">
      <x:c r="D20" s="21"/>
    </x:row>
  </x:sheetData>
  <x:pageMargins left="0.7" right="0.7" top="0.75" bottom="0.75" header="0.3" footer="0.3"/>
  <x:tableParts count="1">
    <x:tablePart xmlns:r="http://schemas.openxmlformats.org/officeDocument/2006/relationships" r:id="R1d413e9162c14add"/>
  </x:tableParts>
</x:worksheet>
</file>