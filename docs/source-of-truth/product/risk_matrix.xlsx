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bbec84ee5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aa397fe339e463f"/>
    <x:sheet xmlns:r="http://schemas.openxmlformats.org/officeDocument/2006/relationships" name="Risk_Register" sheetId="2" r:id="R238401e39c014022"/>
    <x:sheet xmlns:r="http://schemas.openxmlformats.org/officeDocument/2006/relationships" name="Top10_Critical_Risks" sheetId="3" r:id="Rf5942bc0db5d4736"/>
    <x:sheet xmlns:r="http://schemas.openxmlformats.org/officeDocument/2006/relationships" name="Scoring_Matrix" sheetId="4" r:id="Rba36577a695d4b32"/>
    <x:sheet xmlns:r="http://schemas.openxmlformats.org/officeDocument/2006/relationships" name="Category_Summary" sheetId="5" r:id="R17a2250615764db9"/>
    <x:sheet xmlns:r="http://schemas.openxmlformats.org/officeDocument/2006/relationships" name="Action_Tracker" sheetId="6" r:id="R333a121195bc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5E7EB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6e4e37b834e81" /><Relationship Type="http://schemas.openxmlformats.org/officeDocument/2006/relationships/theme" Target="/xl/theme/theme1.xml" Id="Rd40b39738f7647f3" /><Relationship Type="http://schemas.openxmlformats.org/officeDocument/2006/relationships/sharedStrings" Target="/xl/sharedStrings.xml" Id="Rcec590b4bc9f4ade" /><Relationship Type="http://schemas.openxmlformats.org/officeDocument/2006/relationships/worksheet" Target="/xl/worksheets/sheet1.xml" Id="Raaa397fe339e463f" /><Relationship Type="http://schemas.openxmlformats.org/officeDocument/2006/relationships/worksheet" Target="/xl/worksheets/sheet2.xml" Id="R238401e39c014022" /><Relationship Type="http://schemas.openxmlformats.org/officeDocument/2006/relationships/worksheet" Target="/xl/worksheets/sheet3.xml" Id="Rf5942bc0db5d4736" /><Relationship Type="http://schemas.openxmlformats.org/officeDocument/2006/relationships/worksheet" Target="/xl/worksheets/sheet4.xml" Id="Rba36577a695d4b32" /><Relationship Type="http://schemas.openxmlformats.org/officeDocument/2006/relationships/worksheet" Target="/xl/worksheets/sheet5.xml" Id="R17a2250615764db9" /><Relationship Type="http://schemas.openxmlformats.org/officeDocument/2006/relationships/worksheet" Target="/xl/worksheets/sheet6.xml" Id="R333a121195bc434a" /></Relationships>
</file>

<file path=xl/tables/table1.xml><?xml version="1.0" encoding="utf-8"?>
<x:table xmlns:x="http://schemas.openxmlformats.org/spreadsheetml/2006/main" id="1" name="RiskRegisterTable" displayName="RiskRegisterTable" ref="A1:M25" headerRowCount="1">
  <x:tableColumns count="13">
    <x:tableColumn id="1" name="risk_id"/>
    <x:tableColumn id="2" name="category"/>
    <x:tableColumn id="3" name="description"/>
    <x:tableColumn id="4" name="cause"/>
    <x:tableColumn id="5" name="impact"/>
    <x:tableColumn id="6" name="likelihood"/>
    <x:tableColumn id="7" name="severity"/>
    <x:tableColumn id="8" name="risk_score"/>
    <x:tableColumn id="9" name="mitigation"/>
    <x:tableColumn id="10" name="contingency"/>
    <x:tableColumn id="11" name="owner"/>
    <x:tableColumn id="12" name="status"/>
    <x:tableColumn id="13" name="review_date"/>
  </x:tableColumns>
  <x:tableStyleInfo name="TableStyleMedium2" showRowStripes="1"/>
</x:table>
</file>

<file path=xl/tables/table2.xml><?xml version="1.0" encoding="utf-8"?>
<x:table xmlns:x="http://schemas.openxmlformats.org/spreadsheetml/2006/main" id="2" name="Top10RiskTable" displayName="Top10RiskTable" ref="A1:L11" headerRowCount="1">
  <x:tableColumns count="12">
    <x:tableColumn id="1" name="rank"/>
    <x:tableColumn id="2" name="risk_id"/>
    <x:tableColumn id="3" name="category"/>
    <x:tableColumn id="4" name="description"/>
    <x:tableColumn id="5" name="likelihood"/>
    <x:tableColumn id="6" name="severity"/>
    <x:tableColumn id="7" name="risk_score"/>
    <x:tableColumn id="8" name="mitigation"/>
    <x:tableColumn id="9" name="contingency"/>
    <x:tableColumn id="10" name="owner"/>
    <x:tableColumn id="11" name="status"/>
    <x:tableColumn id="12" name="review_date"/>
  </x:tableColumns>
  <x:tableStyleInfo name="TableStyleMedium2" showRowStripes="1"/>
</x:table>
</file>

<file path=xl/tables/table3.xml><?xml version="1.0" encoding="utf-8"?>
<x:table xmlns:x="http://schemas.openxmlformats.org/spreadsheetml/2006/main" id="3" name="CategorySummaryTable" displayName="CategorySummaryTable" ref="A1:H13" headerRowCount="1">
  <x:tableColumns count="8">
    <x:tableColumn id="1" name="category"/>
    <x:tableColumn id="2" name="risk_count"/>
    <x:tableColumn id="3" name="critical_count"/>
    <x:tableColumn id="4" name="high_count"/>
    <x:tableColumn id="5" name="medium_count"/>
    <x:tableColumn id="6" name="low_count"/>
    <x:tableColumn id="7" name="average_score"/>
    <x:tableColumn id="8" name="max_score"/>
  </x:tableColumns>
  <x:tableStyleInfo name="TableStyleMedium2" showRowStripes="1"/>
</x:table>
</file>

<file path=xl/tables/table4.xml><?xml version="1.0" encoding="utf-8"?>
<x:table xmlns:x="http://schemas.openxmlformats.org/spreadsheetml/2006/main" id="4" name="RiskActionTrackerTable" displayName="RiskActionTrackerTable" ref="A1:H11" headerRowCount="1">
  <x:tableColumns count="8">
    <x:tableColumn id="1" name="action_id"/>
    <x:tableColumn id="2" name="risk_id"/>
    <x:tableColumn id="3" name="mitigation_action"/>
    <x:tableColumn id="4" name="owner"/>
    <x:tableColumn id="5" name="due_date"/>
    <x:tableColumn id="6" name="status"/>
    <x:tableColumn id="7" name="dependency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3599401e3945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193900f1084b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6af7c20860944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9622153e6804a0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AIM+n8n MVP Risk Matrix</x:v>
      </x:c>
      <x:c r="B1" s="10" t="str"/>
    </x:row>
    <x:row r="2">
      <x:c r="A2" s="11" t="str">
        <x:v>Purpose</x:v>
      </x:c>
      <x:c r="B2" s="12" t="str">
        <x:v>Track engineering, formula, AI extraction, data quality, evidence, security, workflow, CMMS, adoption, deployment, scope, and compliance risks.</x:v>
      </x:c>
    </x:row>
    <x:row r="3">
      <x:c r="A3" s="11" t="str">
        <x:v>Governance</x:v>
      </x:c>
      <x:c r="B3" s="12" t="str">
        <x:v>AIM is the system of record; n8n is orchestration only; AI output must go to staging; human engineering review and audit logs are mandatory.</x:v>
      </x:c>
    </x:row>
    <x:row r="4">
      <x:c r="A4" s="11" t="str">
        <x:v>Scoring</x:v>
      </x:c>
      <x:c r="B4" s="12" t="str">
        <x:v>Risk Score = Likelihood x Severity, both scored 1-5.</x:v>
      </x:c>
    </x:row>
    <x:row r="5">
      <x:c r="A5" s="11" t="str">
        <x:v>Low</x:v>
      </x:c>
      <x:c r="B5" s="12" t="str">
        <x:v>1-5</x:v>
      </x:c>
    </x:row>
    <x:row r="6">
      <x:c r="A6" s="11" t="str">
        <x:v>Medium</x:v>
      </x:c>
      <x:c r="B6" s="12" t="str">
        <x:v>6-10</x:v>
      </x:c>
    </x:row>
    <x:row r="7">
      <x:c r="A7" s="11" t="str">
        <x:v>High</x:v>
      </x:c>
      <x:c r="B7" s="12" t="str">
        <x:v>11-15</x:v>
      </x:c>
    </x:row>
    <x:row r="8">
      <x:c r="A8" s="11" t="str">
        <x:v>Critical</x:v>
      </x:c>
      <x:c r="B8" s="12" t="str">
        <x:v>16-25</x:v>
      </x:c>
    </x:row>
    <x:row r="9">
      <x:c r="A9" s="11" t="str">
        <x:v>Review cadence</x:v>
      </x:c>
      <x:c r="B9" s="12" t="str">
        <x:v>Weekly during MVP build; bi-weekly after stabilization.</x:v>
      </x:c>
    </x:row>
    <x:row r="10">
      <x:c r="A10" s="11" t="str">
        <x:v>Related document</x:v>
      </x:c>
      <x:c r="B10" s="12" t="str">
        <x:v>docs/risk_register.md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42" hidden="0" customWidth="1"/>
    <x:col min="4" max="4" width="38" hidden="0" customWidth="1"/>
    <x:col min="5" max="5" width="42" hidden="0" customWidth="1"/>
    <x:col min="6" max="6" width="12" hidden="0" customWidth="1"/>
    <x:col min="7" max="7" width="10" hidden="0" customWidth="1"/>
    <x:col min="8" max="8" width="12" hidden="0" customWidth="1"/>
    <x:col min="9" max="9" width="48" hidden="0" customWidth="1"/>
    <x:col min="10" max="10" width="48" hidden="0" customWidth="1"/>
    <x:col min="11" max="11" width="18" hidden="0" customWidth="1"/>
    <x:col min="12" max="12" width="14" hidden="0" customWidth="1"/>
    <x:col min="13" max="13" width="14" hidden="0" customWidth="1"/>
  </x:cols>
  <x:sheetData>
    <x:row r="1">
      <x:c r="A1" s="22" t="str">
        <x:v>risk_id</x:v>
      </x:c>
      <x:c r="B1" s="22" t="str">
        <x:v>category</x:v>
      </x:c>
      <x:c r="C1" s="22" t="str">
        <x:v>description</x:v>
      </x:c>
      <x:c r="D1" s="22" t="str">
        <x:v>cause</x:v>
      </x:c>
      <x:c r="E1" s="22" t="str">
        <x:v>impact</x:v>
      </x:c>
      <x:c r="F1" s="22" t="str">
        <x:v>likelihood</x:v>
      </x:c>
      <x:c r="G1" s="22" t="str">
        <x:v>severity</x:v>
      </x:c>
      <x:c r="H1" s="22" t="str">
        <x:v>risk_score</x:v>
      </x:c>
      <x:c r="I1" s="22" t="str">
        <x:v>mitigation</x:v>
      </x:c>
      <x:c r="J1" s="22" t="str">
        <x:v>contingency</x:v>
      </x:c>
      <x:c r="K1" s="22" t="str">
        <x:v>owner</x:v>
      </x:c>
      <x:c r="L1" s="22" t="str">
        <x:v>status</x:v>
      </x:c>
      <x:c r="M1" s="22" t="str">
        <x:v>review_date</x:v>
      </x:c>
    </x:row>
    <x:row r="2">
      <x:c r="A2" s="12" t="str">
        <x:v>ENG-001</x:v>
      </x:c>
      <x:c r="B2" s="12" t="str">
        <x:v>Engineering risk</x:v>
      </x:c>
      <x:c r="C2" s="12" t="str">
        <x:v>Integrity decision is made without complete engineering review.</x:v>
      </x:c>
      <x:c r="D2" s="12" t="str">
        <x:v>Approval gate is bypassed or role permission is misconfigured.</x:v>
      </x:c>
      <x:c r="E2" s="12" t="str">
        <x:v>Unsafe or unsupported integrity decision; report cannot be trusted.</x:v>
      </x:c>
      <x:c r="F2" s="24" t="n">
        <x:v>4</x:v>
      </x:c>
      <x:c r="G2" s="24" t="n">
        <x:v>5</x:v>
      </x:c>
      <x:c r="H2" s="24" t="n">
        <x:f>F2*G2</x:f>
        <x:v>20</x:v>
      </x:c>
      <x:c r="I2" s="12" t="str">
        <x:v>Enforce maker-checker approval workflow, RBAC protection, evidence checklist, and audit logging before decision finalization.</x:v>
      </x:c>
      <x:c r="J2" s="12" t="str">
        <x:v>Block decision finalization; revert to draft; require Lead Engineer review and corrective audit entry.</x:v>
      </x:c>
      <x:c r="K2" s="12" t="str">
        <x:v>Lead Engineer</x:v>
      </x:c>
      <x:c r="L2" s="12" t="str">
        <x:v>Mitigating</x:v>
      </x:c>
      <x:c r="M2" s="26" t="n">
        <x:v>46203</x:v>
      </x:c>
    </x:row>
    <x:row r="3">
      <x:c r="A3" s="12" t="str">
        <x:v>ENG-002</x:v>
      </x:c>
      <x:c r="B3" s="12" t="str">
        <x:v>Engineering risk</x:v>
      </x:c>
      <x:c r="C3" s="12" t="str">
        <x:v>Incorrect asset/component context used during inspection review.</x:v>
      </x:c>
      <x:c r="D3" s="12" t="str">
        <x:v>Asset tag, component, course number, or inspection ID is selected incorrectly.</x:v>
      </x:c>
      <x:c r="E3" s="12" t="str">
        <x:v>NDT readings and calculations may be associated with the wrong tank/component.</x:v>
      </x:c>
      <x:c r="F3" s="24" t="n">
        <x:v>3</x:v>
      </x:c>
      <x:c r="G3" s="24" t="n">
        <x:v>4</x:v>
      </x:c>
      <x:c r="H3" s="24" t="n">
        <x:f>F3*G3</x:f>
        <x:v>12</x:v>
      </x:c>
      <x:c r="I3" s="12" t="str">
        <x:v>Use asset/component pickers from AIM master data, validation rules, and evidence link confirmation.</x:v>
      </x:c>
      <x:c r="J3" s="12" t="str">
        <x:v>Quarantine affected records; run lineage check; require manual correction reason.</x:v>
      </x:c>
      <x:c r="K3" s="12" t="str">
        <x:v>Engineer</x:v>
      </x:c>
      <x:c r="L3" s="12" t="str">
        <x:v>Open</x:v>
      </x:c>
      <x:c r="M3" s="26" t="n">
        <x:v>46203</x:v>
      </x:c>
    </x:row>
    <x:row r="4">
      <x:c r="A4" s="12" t="str">
        <x:v>FML-001</x:v>
      </x:c>
      <x:c r="B4" s="12" t="str">
        <x:v>Formula validation risk</x:v>
      </x:c>
      <x:c r="C4" s="12" t="str">
        <x:v>Unapproved formula version is used by the calculation engine.</x:v>
      </x:c>
      <x:c r="D4" s="12" t="str">
        <x:v>Formula registry is not enforced or fallback logic uses undocumented calculation.</x:v>
      </x:c>
      <x:c r="E4" s="12" t="str">
        <x:v>Invalid calculation output and potential non-compliance with engineering basis.</x:v>
      </x:c>
      <x:c r="F4" s="24" t="n">
        <x:v>4</x:v>
      </x:c>
      <x:c r="G4" s="24" t="n">
        <x:v>5</x:v>
      </x:c>
      <x:c r="H4" s="24" t="n">
        <x:f>F4*G4</x:f>
        <x:v>20</x:v>
      </x:c>
      <x:c r="I4" s="12" t="str">
        <x:v>Calculation engine must require active engineer-approved formula_version_id and pass validation workbook test cases.</x:v>
      </x:c>
      <x:c r="J4" s="12" t="str">
        <x:v>Disable calculation run; rollback to last approved formula version; notify Lead Engineer and IT Admin.</x:v>
      </x:c>
      <x:c r="K4" s="12" t="str">
        <x:v>Lead Engineer</x:v>
      </x:c>
      <x:c r="L4" s="12" t="str">
        <x:v>Mitigating</x:v>
      </x:c>
      <x:c r="M4" s="26" t="n">
        <x:v>46203</x:v>
      </x:c>
    </x:row>
    <x:row r="5">
      <x:c r="A5" s="12" t="str">
        <x:v>FML-002</x:v>
      </x:c>
      <x:c r="B5" s="12" t="str">
        <x:v>Formula validation risk</x:v>
      </x:c>
      <x:c r="C5" s="12" t="str">
        <x:v>Formula behavior changes without regression testing.</x:v>
      </x:c>
      <x:c r="D5" s="12" t="str">
        <x:v>Code or workbook fixture changes are deployed without validation run.</x:v>
      </x:c>
      <x:c r="E5" s="12" t="str">
        <x:v>Calculation results become inconsistent across reports or audit periods.</x:v>
      </x:c>
      <x:c r="F5" s="24" t="n">
        <x:v>3</x:v>
      </x:c>
      <x:c r="G5" s="24" t="n">
        <x:v>5</x:v>
      </x:c>
      <x:c r="H5" s="24" t="n">
        <x:f>F5*G5</x:f>
        <x:v>15</x:v>
      </x:c>
      <x:c r="I5" s="12" t="str">
        <x:v>CI must execute calculation validation suite using validation_workbook fixtures before release.</x:v>
      </x:c>
      <x:c r="J5" s="12" t="str">
        <x:v>Freeze release; compare previous vs current outputs; issue correction notice for impacted calculations.</x:v>
      </x:c>
      <x:c r="K5" s="12" t="str">
        <x:v>IT Admin</x:v>
      </x:c>
      <x:c r="L5" s="12" t="str">
        <x:v>Open</x:v>
      </x:c>
      <x:c r="M5" s="26" t="n">
        <x:v>46203</x:v>
      </x:c>
    </x:row>
    <x:row r="6">
      <x:c r="A6" s="12" t="str">
        <x:v>AIX-001</x:v>
      </x:c>
      <x:c r="B6" s="12" t="str">
        <x:v>AI extraction risk</x:v>
      </x:c>
      <x:c r="C6" s="12" t="str">
        <x:v>AI extracts incorrect engineering values with high confidence.</x:v>
      </x:c>
      <x:c r="D6" s="12" t="str">
        <x:v>Poor scan quality, ambiguous table layout, or model hallucination.</x:v>
      </x:c>
      <x:c r="E6" s="12" t="str">
        <x:v>Wrong staging values may be promoted if reviewer misses the issue.</x:v>
      </x:c>
      <x:c r="F6" s="24" t="n">
        <x:v>4</x:v>
      </x:c>
      <x:c r="G6" s="24" t="n">
        <x:v>5</x:v>
      </x:c>
      <x:c r="H6" s="24" t="n">
        <x:f>F6*G6</x:f>
        <x:v>20</x:v>
      </x:c>
      <x:c r="I6" s="12" t="str">
        <x:v>Require source reference, confidence, data quality checks, suspicious value rules, and engineer review before promotion.</x:v>
      </x:c>
      <x:c r="J6" s="12" t="str">
        <x:v>Keep field in review_required; manual re-entry from evidence; create manual_overrides record.</x:v>
      </x:c>
      <x:c r="K6" s="12" t="str">
        <x:v>Engineer</x:v>
      </x:c>
      <x:c r="L6" s="12" t="str">
        <x:v>Mitigating</x:v>
      </x:c>
      <x:c r="M6" s="26" t="n">
        <x:v>46203</x:v>
      </x:c>
    </x:row>
    <x:row r="7">
      <x:c r="A7" s="12" t="str">
        <x:v>AIX-002</x:v>
      </x:c>
      <x:c r="B7" s="12" t="str">
        <x:v>AI extraction risk</x:v>
      </x:c>
      <x:c r="C7" s="12" t="str">
        <x:v>AI output is promoted directly into final tables.</x:v>
      </x:c>
      <x:c r="D7" s="12" t="str">
        <x:v>Developer bypasses staging pattern or endpoint incorrectly maps extracted values.</x:v>
      </x:c>
      <x:c r="E7" s="12" t="str">
        <x:v>Architecture rule violation; final data loses mandatory human review traceability.</x:v>
      </x:c>
      <x:c r="F7" s="24" t="n">
        <x:v>3</x:v>
      </x:c>
      <x:c r="G7" s="24" t="n">
        <x:v>5</x:v>
      </x:c>
      <x:c r="H7" s="24" t="n">
        <x:f>F7*G7</x:f>
        <x:v>15</x:v>
      </x:c>
      <x:c r="I7" s="12" t="str">
        <x:v>API must only accept extraction output into extraction_fields and staging_records; final promotion endpoint requires reviewer approval.</x:v>
      </x:c>
      <x:c r="J7" s="12" t="str">
        <x:v>Disable promotion endpoint; audit all affected rows; revert final records to previous version.</x:v>
      </x:c>
      <x:c r="K7" s="12" t="str">
        <x:v>IT Admin</x:v>
      </x:c>
      <x:c r="L7" s="12" t="str">
        <x:v>Mitigating</x:v>
      </x:c>
      <x:c r="M7" s="26" t="n">
        <x:v>46203</x:v>
      </x:c>
    </x:row>
    <x:row r="8">
      <x:c r="A8" s="12" t="str">
        <x:v>DQ-001</x:v>
      </x:c>
      <x:c r="B8" s="12" t="str">
        <x:v>Data quality risk</x:v>
      </x:c>
      <x:c r="C8" s="12" t="str">
        <x:v>Required engineering fields are missing or inconsistent.</x:v>
      </x:c>
      <x:c r="D8" s="12" t="str">
        <x:v>Incomplete inspection report, partial upload, or manual entry error.</x:v>
      </x:c>
      <x:c r="E8" s="12" t="str">
        <x:v>Calculation and reporting gates fail or produce incomplete outputs.</x:v>
      </x:c>
      <x:c r="F8" s="24" t="n">
        <x:v>4</x:v>
      </x:c>
      <x:c r="G8" s="24" t="n">
        <x:v>4</x:v>
      </x:c>
      <x:c r="H8" s="24" t="n">
        <x:f>F8*G8</x:f>
        <x:v>16</x:v>
      </x:c>
      <x:c r="I8" s="12" t="str">
        <x:v>Mandatory field validation, staging quality checks, and completeness checklist per module.</x:v>
      </x:c>
      <x:c r="J8" s="12" t="str">
        <x:v>Create review task; request missing source document/evidence from Inspector.</x:v>
      </x:c>
      <x:c r="K8" s="12" t="str">
        <x:v>Engineer</x:v>
      </x:c>
      <x:c r="L8" s="12" t="str">
        <x:v>Open</x:v>
      </x:c>
      <x:c r="M8" s="26" t="n">
        <x:v>46203</x:v>
      </x:c>
    </x:row>
    <x:row r="9">
      <x:c r="A9" s="12" t="str">
        <x:v>DQ-002</x:v>
      </x:c>
      <x:c r="B9" s="12" t="str">
        <x:v>Data quality risk</x:v>
      </x:c>
      <x:c r="C9" s="12" t="str">
        <x:v>Duplicate report number or duplicate inspection record is created.</x:v>
      </x:c>
      <x:c r="D9" s="12" t="str">
        <x:v>No uniqueness validation across asset, report number, and inspection date.</x:v>
      </x:c>
      <x:c r="E9" s="12" t="str">
        <x:v>Conflicting asset history and incorrect dashboard KPI/report traceability.</x:v>
      </x:c>
      <x:c r="F9" s="24" t="n">
        <x:v>3</x:v>
      </x:c>
      <x:c r="G9" s="24" t="n">
        <x:v>4</x:v>
      </x:c>
      <x:c r="H9" s="24" t="n">
        <x:f>F9*G9</x:f>
        <x:v>12</x:v>
      </x:c>
      <x:c r="I9" s="12" t="str">
        <x:v>Enforce duplicate detection on report_number, asset_id, inspection_date, and evidence checksum.</x:v>
      </x:c>
      <x:c r="J9" s="12" t="str">
        <x:v>Merge or supersede duplicate record with audit trail and approver sign-off.</x:v>
      </x:c>
      <x:c r="K9" s="12" t="str">
        <x:v>Admin</x:v>
      </x:c>
      <x:c r="L9" s="12" t="str">
        <x:v>Open</x:v>
      </x:c>
      <x:c r="M9" s="26" t="n">
        <x:v>46203</x:v>
      </x:c>
    </x:row>
    <x:row r="10">
      <x:c r="A10" s="12" t="str">
        <x:v>EVD-001</x:v>
      </x:c>
      <x:c r="B10" s="12" t="str">
        <x:v>Evidence traceability risk</x:v>
      </x:c>
      <x:c r="C10" s="12" t="str">
        <x:v>Evidence link is missing for finding, NDT reading, calculation, decision, or report.</x:v>
      </x:c>
      <x:c r="D10" s="12" t="str">
        <x:v>Evidence is uploaded but not linked to downstream engineering record.</x:v>
      </x:c>
      <x:c r="E10" s="12" t="str">
        <x:v>Audit failure; report cannot prove basis for engineering conclusion.</x:v>
      </x:c>
      <x:c r="F10" s="24" t="n">
        <x:v>4</x:v>
      </x:c>
      <x:c r="G10" s="24" t="n">
        <x:v>5</x:v>
      </x:c>
      <x:c r="H10" s="24" t="n">
        <x:f>F10*G10</x:f>
        <x:v>20</x:v>
      </x:c>
      <x:c r="I10" s="12" t="str">
        <x:v>Make evidence_links mandatory before NDT finalization, calculation approval, integrity decision, and report issue.</x:v>
      </x:c>
      <x:c r="J10" s="12" t="str">
        <x:v>Block workflow at gate; create evidence completion task; escalate after SLA breach.</x:v>
      </x:c>
      <x:c r="K10" s="12" t="str">
        <x:v>Lead Engineer</x:v>
      </x:c>
      <x:c r="L10" s="12" t="str">
        <x:v>Mitigating</x:v>
      </x:c>
      <x:c r="M10" s="26" t="n">
        <x:v>46203</x:v>
      </x:c>
    </x:row>
    <x:row r="11">
      <x:c r="A11" s="12" t="str">
        <x:v>EVD-002</x:v>
      </x:c>
      <x:c r="B11" s="12" t="str">
        <x:v>Evidence traceability risk</x:v>
      </x:c>
      <x:c r="C11" s="12" t="str">
        <x:v>Original evidence file is overwritten or deleted without approval.</x:v>
      </x:c>
      <x:c r="D11" s="12" t="str">
        <x:v>Object storage versioning or deletion approval controls are incomplete.</x:v>
      </x:c>
      <x:c r="E11" s="12" t="str">
        <x:v>Loss of original audit source and inability to reproduce decision basis.</x:v>
      </x:c>
      <x:c r="F11" s="24" t="n">
        <x:v>3</x:v>
      </x:c>
      <x:c r="G11" s="24" t="n">
        <x:v>5</x:v>
      </x:c>
      <x:c r="H11" s="24" t="n">
        <x:f>F11*G11</x:f>
        <x:v>15</x:v>
      </x:c>
      <x:c r="I11" s="12" t="str">
        <x:v>Enable versioning, checksum, soft-delete metadata, deletion request/approval, and audit logs.</x:v>
      </x:c>
      <x:c r="J11" s="12" t="str">
        <x:v>Restore previous object version or backup; mark affected records as under investigation.</x:v>
      </x:c>
      <x:c r="K11" s="12" t="str">
        <x:v>IT Admin</x:v>
      </x:c>
      <x:c r="L11" s="12" t="str">
        <x:v>Open</x:v>
      </x:c>
      <x:c r="M11" s="26" t="n">
        <x:v>46203</x:v>
      </x:c>
    </x:row>
    <x:row r="12">
      <x:c r="A12" s="12" t="str">
        <x:v>SEC-001</x:v>
      </x:c>
      <x:c r="B12" s="12" t="str">
        <x:v>Security risk</x:v>
      </x:c>
      <x:c r="C12" s="12" t="str">
        <x:v>Unauthorized user accesses restricted evidence files.</x:v>
      </x:c>
      <x:c r="D12" s="12" t="str">
        <x:v>Signed URLs are too broad, RBAC not checked, or storage path is exposed.</x:v>
      </x:c>
      <x:c r="E12" s="12" t="str">
        <x:v>Confidential engineering/client data leak.</x:v>
      </x:c>
      <x:c r="F12" s="24" t="n">
        <x:v>4</x:v>
      </x:c>
      <x:c r="G12" s="24" t="n">
        <x:v>5</x:v>
      </x:c>
      <x:c r="H12" s="24" t="n">
        <x:f>F12*G12</x:f>
        <x:v>20</x:v>
      </x:c>
      <x:c r="I12" s="12" t="str">
        <x:v>Generate short-lived signed URLs only after AIM RBAC check; no public bucket access.</x:v>
      </x:c>
      <x:c r="J12" s="12" t="str">
        <x:v>Revoke URLs, rotate credentials, review audit logs, notify security owner.</x:v>
      </x:c>
      <x:c r="K12" s="12" t="str">
        <x:v>IT Admin</x:v>
      </x:c>
      <x:c r="L12" s="12" t="str">
        <x:v>Mitigating</x:v>
      </x:c>
      <x:c r="M12" s="26" t="n">
        <x:v>46203</x:v>
      </x:c>
    </x:row>
    <x:row r="13">
      <x:c r="A13" s="12" t="str">
        <x:v>SEC-002</x:v>
      </x:c>
      <x:c r="B13" s="12" t="str">
        <x:v>Security risk</x:v>
      </x:c>
      <x:c r="C13" s="12" t="str">
        <x:v>Malicious or unsafe file is uploaded as evidence.</x:v>
      </x:c>
      <x:c r="D13" s="12" t="str">
        <x:v>Upload validation only checks extension; no MIME/checksum/scanning control.</x:v>
      </x:c>
      <x:c r="E13" s="12" t="str">
        <x:v>Malware exposure or unsafe file distribution to users.</x:v>
      </x:c>
      <x:c r="F13" s="24" t="n">
        <x:v>3</x:v>
      </x:c>
      <x:c r="G13" s="24" t="n">
        <x:v>4</x:v>
      </x:c>
      <x:c r="H13" s="24" t="n">
        <x:f>F13*G13</x:f>
        <x:v>12</x:v>
      </x:c>
      <x:c r="I13" s="12" t="str">
        <x:v>Validate extension, MIME, file size, checksum, and integrate malware scanning placeholder before production.</x:v>
      </x:c>
      <x:c r="J13" s="12" t="str">
        <x:v>Quarantine file; block preview/download; investigate uploader and affected objects.</x:v>
      </x:c>
      <x:c r="K13" s="12" t="str">
        <x:v>IT Admin</x:v>
      </x:c>
      <x:c r="L13" s="12" t="str">
        <x:v>Open</x:v>
      </x:c>
      <x:c r="M13" s="26" t="n">
        <x:v>46203</x:v>
      </x:c>
    </x:row>
    <x:row r="14">
      <x:c r="A14" s="12" t="str">
        <x:v>N8N-001</x:v>
      </x:c>
      <x:c r="B14" s="12" t="str">
        <x:v>n8n workflow risk</x:v>
      </x:c>
      <x:c r="C14" s="12" t="str">
        <x:v>n8n writes or stores final engineering data outside AIM.</x:v>
      </x:c>
      <x:c r="D14" s="12" t="str">
        <x:v>Workflow is configured to write PostgreSQL directly or retain extracted data as durable source.</x:v>
      </x:c>
      <x:c r="E14" s="12" t="str">
        <x:v>System-of-record violation and audit inconsistency.</x:v>
      </x:c>
      <x:c r="F14" s="24" t="n">
        <x:v>3</x:v>
      </x:c>
      <x:c r="G14" s="24" t="n">
        <x:v>5</x:v>
      </x:c>
      <x:c r="H14" s="24" t="n">
        <x:f>F14*G14</x:f>
        <x:v>15</x:v>
      </x:c>
      <x:c r="I14" s="12" t="str">
        <x:v>n8n credentials must not include DB write access; workflows call AIM APIs only; every run posts workflow event.</x:v>
      </x:c>
      <x:c r="J14" s="12" t="str">
        <x:v>Disable workflow; rotate credentials; reconcile data against AIM; record incident audit event.</x:v>
      </x:c>
      <x:c r="K14" s="12" t="str">
        <x:v>IT Admin</x:v>
      </x:c>
      <x:c r="L14" s="12" t="str">
        <x:v>Mitigating</x:v>
      </x:c>
      <x:c r="M14" s="26" t="n">
        <x:v>46203</x:v>
      </x:c>
    </x:row>
    <x:row r="15">
      <x:c r="A15" s="12" t="str">
        <x:v>N8N-002</x:v>
      </x:c>
      <x:c r="B15" s="12" t="str">
        <x:v>n8n workflow risk</x:v>
      </x:c>
      <x:c r="C15" s="12" t="str">
        <x:v>Workflow failure is not logged or escalated.</x:v>
      </x:c>
      <x:c r="D15" s="12" t="str">
        <x:v>Error branch missing, API timeout, or retry policy not configured.</x:v>
      </x:c>
      <x:c r="E15" s="12" t="str">
        <x:v>Silent failure; review/approval tasks may be delayed or lost.</x:v>
      </x:c>
      <x:c r="F15" s="24" t="n">
        <x:v>3</x:v>
      </x:c>
      <x:c r="G15" s="24" t="n">
        <x:v>4</x:v>
      </x:c>
      <x:c r="H15" s="24" t="n">
        <x:f>F15*G15</x:f>
        <x:v>12</x:v>
      </x:c>
      <x:c r="I15" s="12" t="str">
        <x:v>Every workflow has failure branch to /api/error-logs and /api/workflow-events with SLA escalation.</x:v>
      </x:c>
      <x:c r="J15" s="12" t="str">
        <x:v>Run error recovery workflow; manually recreate failed task; notify owner.</x:v>
      </x:c>
      <x:c r="K15" s="12" t="str">
        <x:v>IT Admin</x:v>
      </x:c>
      <x:c r="L15" s="12" t="str">
        <x:v>Open</x:v>
      </x:c>
      <x:c r="M15" s="26" t="n">
        <x:v>46203</x:v>
      </x:c>
    </x:row>
    <x:row r="16">
      <x:c r="A16" s="12" t="str">
        <x:v>CMMS-001</x:v>
      </x:c>
      <x:c r="B16" s="12" t="str">
        <x:v>CMMS integration risk</x:v>
      </x:c>
      <x:c r="C16" s="12" t="str">
        <x:v>External CMMS integration delays block MVP action management.</x:v>
      </x:c>
      <x:c r="D16" s="12" t="str">
        <x:v>SAP/Maximo credentials, API access, or mapping not available during MVP timeline.</x:v>
      </x:c>
      <x:c r="E16" s="12" t="str">
        <x:v>Action tracking delayed if system depends on external integration.</x:v>
      </x:c>
      <x:c r="F16" s="24" t="n">
        <x:v>4</x:v>
      </x:c>
      <x:c r="G16" s="24" t="n">
        <x:v>3</x:v>
      </x:c>
      <x:c r="H16" s="24" t="n">
        <x:f>F16*G16</x:f>
        <x:v>12</x:v>
      </x:c>
      <x:c r="I16" s="12" t="str">
        <x:v>Implement internal work order fallback as MVP default; external integration remains phase 2.</x:v>
      </x:c>
      <x:c r="J16" s="12" t="str">
        <x:v>Use internal work_orders until CMMS UAT and mapping are approved.</x:v>
      </x:c>
      <x:c r="K16" s="12" t="str">
        <x:v>Admin</x:v>
      </x:c>
      <x:c r="L16" s="12" t="str">
        <x:v>Monitored</x:v>
      </x:c>
      <x:c r="M16" s="26" t="n">
        <x:v>46218</x:v>
      </x:c>
    </x:row>
    <x:row r="17">
      <x:c r="A17" s="12" t="str">
        <x:v>CMMS-002</x:v>
      </x:c>
      <x:c r="B17" s="12" t="str">
        <x:v>CMMS integration risk</x:v>
      </x:c>
      <x:c r="C17" s="12" t="str">
        <x:v>Work order status becomes inconsistent between AIM and external CMMS.</x:v>
      </x:c>
      <x:c r="D17" s="12" t="str">
        <x:v>No reconciliation rule, webhook mismatch, or manual updates in CMMS.</x:v>
      </x:c>
      <x:c r="E17" s="12" t="str">
        <x:v>Dashboard action KPIs and closure evidence become unreliable.</x:v>
      </x:c>
      <x:c r="F17" s="24" t="n">
        <x:v>3</x:v>
      </x:c>
      <x:c r="G17" s="24" t="n">
        <x:v>4</x:v>
      </x:c>
      <x:c r="H17" s="24" t="n">
        <x:f>F17*G17</x:f>
        <x:v>12</x:v>
      </x:c>
      <x:c r="I17" s="12" t="str">
        <x:v>Define integration mapping, idempotency keys, sync logs, and reconciliation reports before production integration.</x:v>
      </x:c>
      <x:c r="J17" s="12" t="str">
        <x:v>Freeze external sync; treat AIM work order as internal source until reconciled.</x:v>
      </x:c>
      <x:c r="K17" s="12" t="str">
        <x:v>IT Admin</x:v>
      </x:c>
      <x:c r="L17" s="12" t="str">
        <x:v>Open</x:v>
      </x:c>
      <x:c r="M17" s="26" t="n">
        <x:v>46218</x:v>
      </x:c>
    </x:row>
    <x:row r="18">
      <x:c r="A18" s="12" t="str">
        <x:v>ADP-001</x:v>
      </x:c>
      <x:c r="B18" s="12" t="str">
        <x:v>User adoption risk</x:v>
      </x:c>
      <x:c r="C18" s="12" t="str">
        <x:v>Inspectors and engineers continue using spreadsheets outside AIM.</x:v>
      </x:c>
      <x:c r="D18" s="12" t="str">
        <x:v>Workflow is perceived as slower or not aligned with site habits.</x:v>
      </x:c>
      <x:c r="E18" s="12" t="str">
        <x:v>Incomplete AIM records and poor data quality for dashboard/reporting.</x:v>
      </x:c>
      <x:c r="F18" s="24" t="n">
        <x:v>4</x:v>
      </x:c>
      <x:c r="G18" s="24" t="n">
        <x:v>4</x:v>
      </x:c>
      <x:c r="H18" s="24" t="n">
        <x:f>F18*G18</x:f>
        <x:v>16</x:v>
      </x:c>
      <x:c r="I18" s="12" t="str">
        <x:v>Provide role-based training, import templates, fast upload, and clear review queues.</x:v>
      </x:c>
      <x:c r="J18" s="12" t="str">
        <x:v>Run migration/backfill session; assign data steward to support first inspections.</x:v>
      </x:c>
      <x:c r="K18" s="12" t="str">
        <x:v>Management</x:v>
      </x:c>
      <x:c r="L18" s="12" t="str">
        <x:v>Open</x:v>
      </x:c>
      <x:c r="M18" s="26" t="n">
        <x:v>46218</x:v>
      </x:c>
    </x:row>
    <x:row r="19">
      <x:c r="A19" s="12" t="str">
        <x:v>ADP-002</x:v>
      </x:c>
      <x:c r="B19" s="12" t="str">
        <x:v>User adoption risk</x:v>
      </x:c>
      <x:c r="C19" s="12" t="str">
        <x:v>Approvers do not act within SLA.</x:v>
      </x:c>
      <x:c r="D19" s="12" t="str">
        <x:v>Approval responsibilities or notifications are unclear.</x:v>
      </x:c>
      <x:c r="E19" s="12" t="str">
        <x:v>Reports and work orders are delayed.</x:v>
      </x:c>
      <x:c r="F19" s="24" t="n">
        <x:v>3</x:v>
      </x:c>
      <x:c r="G19" s="24" t="n">
        <x:v>3</x:v>
      </x:c>
      <x:c r="H19" s="24" t="n">
        <x:f>F19*G19</x:f>
        <x:v>9</x:v>
      </x:c>
      <x:c r="I19" s="12" t="str">
        <x:v>SLA escalation matrix, dashboard overdue view, and recurring reminder workflow.</x:v>
      </x:c>
      <x:c r="J19" s="12" t="str">
        <x:v>Escalate to alternate approver or management after SLA breach.</x:v>
      </x:c>
      <x:c r="K19" s="12" t="str">
        <x:v>Approver</x:v>
      </x:c>
      <x:c r="L19" s="12" t="str">
        <x:v>Open</x:v>
      </x:c>
      <x:c r="M19" s="26" t="n">
        <x:v>46218</x:v>
      </x:c>
    </x:row>
    <x:row r="20">
      <x:c r="A20" s="12" t="str">
        <x:v>OPS-001</x:v>
      </x:c>
      <x:c r="B20" s="12" t="str">
        <x:v>Deployment and operation risk</x:v>
      </x:c>
      <x:c r="C20" s="12" t="str">
        <x:v>Production environment lacks backup/restore readiness.</x:v>
      </x:c>
      <x:c r="D20" s="12" t="str">
        <x:v>Backup policy, retention, or restore drill is not completed before go-live.</x:v>
      </x:c>
      <x:c r="E20" s="12" t="str">
        <x:v>Data loss or extended downtime after incident.</x:v>
      </x:c>
      <x:c r="F20" s="24" t="n">
        <x:v>3</x:v>
      </x:c>
      <x:c r="G20" s="24" t="n">
        <x:v>5</x:v>
      </x:c>
      <x:c r="H20" s="24" t="n">
        <x:f>F20*G20</x:f>
        <x:v>15</x:v>
      </x:c>
      <x:c r="I20" s="12" t="str">
        <x:v>Define PostgreSQL backup, object storage versioning, restore drill, and RPO/RTO acceptance criteria.</x:v>
      </x:c>
      <x:c r="J20" s="12" t="str">
        <x:v>Activate DR runbook; restore from latest verified backup; communicate incident status.</x:v>
      </x:c>
      <x:c r="K20" s="12" t="str">
        <x:v>IT Admin</x:v>
      </x:c>
      <x:c r="L20" s="12" t="str">
        <x:v>Open</x:v>
      </x:c>
      <x:c r="M20" s="26" t="n">
        <x:v>46203</x:v>
      </x:c>
    </x:row>
    <x:row r="21">
      <x:c r="A21" s="12" t="str">
        <x:v>OPS-002</x:v>
      </x:c>
      <x:c r="B21" s="12" t="str">
        <x:v>Deployment and operation risk</x:v>
      </x:c>
      <x:c r="C21" s="12" t="str">
        <x:v>Observability is insufficient for API, workflow, and extraction failures.</x:v>
      </x:c>
      <x:c r="D21" s="12" t="str">
        <x:v>Logs, metrics, and alerting are not configured across backend/n8n/storage.</x:v>
      </x:c>
      <x:c r="E21" s="12" t="str">
        <x:v>Issues remain undetected until users report them.</x:v>
      </x:c>
      <x:c r="F21" s="24" t="n">
        <x:v>3</x:v>
      </x:c>
      <x:c r="G21" s="24" t="n">
        <x:v>4</x:v>
      </x:c>
      <x:c r="H21" s="24" t="n">
        <x:f>F21*G21</x:f>
        <x:v>12</x:v>
      </x:c>
      <x:c r="I21" s="12" t="str">
        <x:v>Implement structured logs, workflow/error dashboards, uptime checks, and alert routing.</x:v>
      </x:c>
      <x:c r="J21" s="12" t="str">
        <x:v>Run manual health checks; triage error_logs and workflow_events daily.</x:v>
      </x:c>
      <x:c r="K21" s="12" t="str">
        <x:v>IT Admin</x:v>
      </x:c>
      <x:c r="L21" s="12" t="str">
        <x:v>Open</x:v>
      </x:c>
      <x:c r="M21" s="26" t="n">
        <x:v>46218</x:v>
      </x:c>
    </x:row>
    <x:row r="22">
      <x:c r="A22" s="12" t="str">
        <x:v>SCP-001</x:v>
      </x:c>
      <x:c r="B22" s="12" t="str">
        <x:v>Scope creep risk</x:v>
      </x:c>
      <x:c r="C22" s="12" t="str">
        <x:v>MVP expands into full RBI, FFS, or production CMMS before core gates are stable.</x:v>
      </x:c>
      <x:c r="D22" s="12" t="str">
        <x:v>Stakeholders request advanced modules during build.</x:v>
      </x:c>
      <x:c r="E22" s="12" t="str">
        <x:v>Delivery slips and validation scope becomes unmanageable.</x:v>
      </x:c>
      <x:c r="F22" s="24" t="n">
        <x:v>4</x:v>
      </x:c>
      <x:c r="G22" s="24" t="n">
        <x:v>4</x:v>
      </x:c>
      <x:c r="H22" s="24" t="n">
        <x:f>F22*G22</x:f>
        <x:v>16</x:v>
      </x:c>
      <x:c r="I22" s="12" t="str">
        <x:v>Maintain explicit out-of-scope list and change control board; defer advanced modules to roadmap.</x:v>
      </x:c>
      <x:c r="J22" s="12" t="str">
        <x:v>Re-baseline sprint backlog and obtain sponsor approval for scope trade-offs.</x:v>
      </x:c>
      <x:c r="K22" s="12" t="str">
        <x:v>Product Owner</x:v>
      </x:c>
      <x:c r="L22" s="12" t="str">
        <x:v>Open</x:v>
      </x:c>
      <x:c r="M22" s="26" t="n">
        <x:v>46203</x:v>
      </x:c>
    </x:row>
    <x:row r="23">
      <x:c r="A23" s="12" t="str">
        <x:v>SCP-002</x:v>
      </x:c>
      <x:c r="B23" s="12" t="str">
        <x:v>Scope creep risk</x:v>
      </x:c>
      <x:c r="C23" s="12" t="str">
        <x:v>Frontend requests add non-MVP analytics before data governance is complete.</x:v>
      </x:c>
      <x:c r="D23" s="12" t="str">
        <x:v>Dashboard expectations grow beyond validated data model.</x:v>
      </x:c>
      <x:c r="E23" s="12" t="str">
        <x:v>Team spends effort on visuals without reliable underlying data.</x:v>
      </x:c>
      <x:c r="F23" s="24" t="n">
        <x:v>3</x:v>
      </x:c>
      <x:c r="G23" s="24" t="n">
        <x:v>4</x:v>
      </x:c>
      <x:c r="H23" s="24" t="n">
        <x:f>F23*G23</x:f>
        <x:v>12</x:v>
      </x:c>
      <x:c r="I23" s="12" t="str">
        <x:v>Prioritize core data lifecycle, evidence linkage, and approval gates before advanced analytics.</x:v>
      </x:c>
      <x:c r="J23" s="12" t="str">
        <x:v>Move new charts to backlog; deliver basic KPI only in MVP.</x:v>
      </x:c>
      <x:c r="K23" s="12" t="str">
        <x:v>Product Owner</x:v>
      </x:c>
      <x:c r="L23" s="12" t="str">
        <x:v>Monitored</x:v>
      </x:c>
      <x:c r="M23" s="26" t="n">
        <x:v>46218</x:v>
      </x:c>
    </x:row>
    <x:row r="24">
      <x:c r="A24" s="12" t="str">
        <x:v>CMP-001</x:v>
      </x:c>
      <x:c r="B24" s="12" t="str">
        <x:v>Compliance and audit risk</x:v>
      </x:c>
      <x:c r="C24" s="12" t="str">
        <x:v>Audit logs are incomplete for approval, correction, calculation, report issue, or work order action.</x:v>
      </x:c>
      <x:c r="D24" s="12" t="str">
        <x:v>Developers implement business action without audit wrapper.</x:v>
      </x:c>
      <x:c r="E24" s="12" t="str">
        <x:v>Cannot prove who did what, when, and why.</x:v>
      </x:c>
      <x:c r="F24" s="24" t="n">
        <x:v>4</x:v>
      </x:c>
      <x:c r="G24" s="24" t="n">
        <x:v>5</x:v>
      </x:c>
      <x:c r="H24" s="24" t="n">
        <x:f>F24*G24</x:f>
        <x:v>20</x:v>
      </x:c>
      <x:c r="I24" s="12" t="str">
        <x:v>Centralize audit middleware/service; every protected endpoint requires x-audit-event-generated mapping and tests.</x:v>
      </x:c>
      <x:c r="J24" s="12" t="str">
        <x:v>Block release; run audit gap report; backfill audit records where supported.</x:v>
      </x:c>
      <x:c r="K24" s="12" t="str">
        <x:v>IT Admin</x:v>
      </x:c>
      <x:c r="L24" s="12" t="str">
        <x:v>Mitigating</x:v>
      </x:c>
      <x:c r="M24" s="26" t="n">
        <x:v>46203</x:v>
      </x:c>
    </x:row>
    <x:row r="25">
      <x:c r="A25" s="12" t="str">
        <x:v>CMP-002</x:v>
      </x:c>
      <x:c r="B25" s="12" t="str">
        <x:v>Compliance and audit risk</x:v>
      </x:c>
      <x:c r="C25" s="12" t="str">
        <x:v>Report is issued without satisfying data, calculation, review, evidence, and approval gates.</x:v>
      </x:c>
      <x:c r="D25" s="12" t="str">
        <x:v>Report issue endpoint does not enforce readiness checks.</x:v>
      </x:c>
      <x:c r="E25" s="12" t="str">
        <x:v>Invalid or premature official report could be sent to client/management.</x:v>
      </x:c>
      <x:c r="F25" s="24" t="n">
        <x:v>3</x:v>
      </x:c>
      <x:c r="G25" s="24" t="n">
        <x:v>5</x:v>
      </x:c>
      <x:c r="H25" s="24" t="n">
        <x:f>F25*G25</x:f>
        <x:v>15</x:v>
      </x:c>
      <x:c r="I25" s="12" t="str">
        <x:v>Report issue endpoint must check required gates and evidence completeness before status=issued.</x:v>
      </x:c>
      <x:c r="J25" s="12" t="str">
        <x:v>Revoke issued report version; mark superseded; require reapproval and incident audit.</x:v>
      </x:c>
      <x:c r="K25" s="12" t="str">
        <x:v>Approver</x:v>
      </x:c>
      <x:c r="L25" s="12" t="str">
        <x:v>Mitigating</x:v>
      </x:c>
      <x:c r="M25" s="26" t="n">
        <x:v>46203</x:v>
      </x:c>
    </x:row>
  </x:sheetData>
  <x:conditionalFormatting sqref="H2:H25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dataValidations count="3">
    <x:dataValidation type="list" sqref="F2:F124">
      <x:formula1>"1,2,3,4,5"</x:formula1>
    </x:dataValidation>
    <x:dataValidation type="list" sqref="G2:G124">
      <x:formula1>"1,2,3,4,5"</x:formula1>
    </x:dataValidation>
    <x:dataValidation type="list" sqref="L2:L124">
      <x:formula1>"Open,Mitigating,Monitored,Closed,Accepted"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3599401e3945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4" hidden="0" customWidth="1"/>
    <x:col min="4" max="4" width="48" hidden="0" customWidth="1"/>
    <x:col min="5" max="5" width="12" hidden="0" customWidth="1"/>
    <x:col min="6" max="6" width="10" hidden="0" customWidth="1"/>
    <x:col min="7" max="7" width="12" hidden="0" customWidth="1"/>
    <x:col min="8" max="8" width="48" hidden="0" customWidth="1"/>
    <x:col min="9" max="9" width="45" hidden="0" customWidth="1"/>
    <x:col min="10" max="10" width="18" hidden="0" customWidth="1"/>
    <x:col min="11" max="11" width="14" hidden="0" customWidth="1"/>
    <x:col min="12" max="12" width="14" hidden="0" customWidth="1"/>
  </x:cols>
  <x:sheetData>
    <x:row r="1">
      <x:c r="A1" s="28" t="str">
        <x:v>rank</x:v>
      </x:c>
      <x:c r="B1" s="28" t="str">
        <x:v>risk_id</x:v>
      </x:c>
      <x:c r="C1" s="28" t="str">
        <x:v>category</x:v>
      </x:c>
      <x:c r="D1" s="28" t="str">
        <x:v>description</x:v>
      </x:c>
      <x:c r="E1" s="28" t="str">
        <x:v>likelihood</x:v>
      </x:c>
      <x:c r="F1" s="28" t="str">
        <x:v>severity</x:v>
      </x:c>
      <x:c r="G1" s="28" t="str">
        <x:v>risk_score</x:v>
      </x:c>
      <x:c r="H1" s="28" t="str">
        <x:v>mitigation</x:v>
      </x:c>
      <x:c r="I1" s="28" t="str">
        <x:v>contingency</x:v>
      </x:c>
      <x:c r="J1" s="28" t="str">
        <x:v>owner</x:v>
      </x:c>
      <x:c r="K1" s="28" t="str">
        <x:v>status</x:v>
      </x:c>
      <x:c r="L1" s="28" t="str">
        <x:v>review_date</x:v>
      </x:c>
    </x:row>
    <x:row r="2">
      <x:c r="A2" s="24" t="n">
        <x:v>1</x:v>
      </x:c>
      <x:c r="B2" s="24" t="str">
        <x:v>AIX-001</x:v>
      </x:c>
      <x:c r="C2" s="24" t="str">
        <x:v>AI extraction risk</x:v>
      </x:c>
      <x:c r="D2" s="24" t="str">
        <x:v>AI extracts incorrect engineering values with high confidence.</x:v>
      </x:c>
      <x:c r="E2" s="24" t="n">
        <x:v>4</x:v>
      </x:c>
      <x:c r="F2" s="24" t="n">
        <x:v>5</x:v>
      </x:c>
      <x:c r="G2" s="24" t="n">
        <x:v>20</x:v>
      </x:c>
      <x:c r="H2" s="12" t="str">
        <x:v>Require source reference, confidence, data quality checks, suspicious value rules, and engineer review before promotion.</x:v>
      </x:c>
      <x:c r="I2" s="12" t="str">
        <x:v>Keep field in review_required; manual re-entry from evidence; create manual_overrides record.</x:v>
      </x:c>
      <x:c r="J2" s="12" t="str">
        <x:v>Engineer</x:v>
      </x:c>
      <x:c r="K2" s="12" t="str">
        <x:v>Mitigating</x:v>
      </x:c>
      <x:c r="L2" s="26" t="n">
        <x:v>46203</x:v>
      </x:c>
    </x:row>
    <x:row r="3">
      <x:c r="A3" s="24" t="n">
        <x:v>2</x:v>
      </x:c>
      <x:c r="B3" s="24" t="str">
        <x:v>CMP-001</x:v>
      </x:c>
      <x:c r="C3" s="24" t="str">
        <x:v>Compliance and audit risk</x:v>
      </x:c>
      <x:c r="D3" s="24" t="str">
        <x:v>Audit logs are incomplete for approval, correction, calculation, report issue, or work order action.</x:v>
      </x:c>
      <x:c r="E3" s="24" t="n">
        <x:v>4</x:v>
      </x:c>
      <x:c r="F3" s="24" t="n">
        <x:v>5</x:v>
      </x:c>
      <x:c r="G3" s="24" t="n">
        <x:v>20</x:v>
      </x:c>
      <x:c r="H3" s="12" t="str">
        <x:v>Centralize audit middleware/service; every protected endpoint requires x-audit-event-generated mapping and tests.</x:v>
      </x:c>
      <x:c r="I3" s="12" t="str">
        <x:v>Block release; run audit gap report; backfill audit records where supported.</x:v>
      </x:c>
      <x:c r="J3" s="12" t="str">
        <x:v>IT Admin</x:v>
      </x:c>
      <x:c r="K3" s="12" t="str">
        <x:v>Mitigating</x:v>
      </x:c>
      <x:c r="L3" s="26" t="n">
        <x:v>46203</x:v>
      </x:c>
    </x:row>
    <x:row r="4">
      <x:c r="A4" s="24" t="n">
        <x:v>3</x:v>
      </x:c>
      <x:c r="B4" s="24" t="str">
        <x:v>ENG-001</x:v>
      </x:c>
      <x:c r="C4" s="24" t="str">
        <x:v>Engineering risk</x:v>
      </x:c>
      <x:c r="D4" s="24" t="str">
        <x:v>Integrity decision is made without complete engineering review.</x:v>
      </x:c>
      <x:c r="E4" s="24" t="n">
        <x:v>4</x:v>
      </x:c>
      <x:c r="F4" s="24" t="n">
        <x:v>5</x:v>
      </x:c>
      <x:c r="G4" s="24" t="n">
        <x:v>20</x:v>
      </x:c>
      <x:c r="H4" s="12" t="str">
        <x:v>Enforce maker-checker approval workflow, RBAC protection, evidence checklist, and audit logging before decision finalization.</x:v>
      </x:c>
      <x:c r="I4" s="12" t="str">
        <x:v>Block decision finalization; revert to draft; require Lead Engineer review and corrective audit entry.</x:v>
      </x:c>
      <x:c r="J4" s="12" t="str">
        <x:v>Lead Engineer</x:v>
      </x:c>
      <x:c r="K4" s="12" t="str">
        <x:v>Mitigating</x:v>
      </x:c>
      <x:c r="L4" s="26" t="n">
        <x:v>46203</x:v>
      </x:c>
    </x:row>
    <x:row r="5">
      <x:c r="A5" s="24" t="n">
        <x:v>4</x:v>
      </x:c>
      <x:c r="B5" s="24" t="str">
        <x:v>EVD-001</x:v>
      </x:c>
      <x:c r="C5" s="24" t="str">
        <x:v>Evidence traceability risk</x:v>
      </x:c>
      <x:c r="D5" s="24" t="str">
        <x:v>Evidence link is missing for finding, NDT reading, calculation, decision, or report.</x:v>
      </x:c>
      <x:c r="E5" s="24" t="n">
        <x:v>4</x:v>
      </x:c>
      <x:c r="F5" s="24" t="n">
        <x:v>5</x:v>
      </x:c>
      <x:c r="G5" s="24" t="n">
        <x:v>20</x:v>
      </x:c>
      <x:c r="H5" s="12" t="str">
        <x:v>Make evidence_links mandatory before NDT finalization, calculation approval, integrity decision, and report issue.</x:v>
      </x:c>
      <x:c r="I5" s="12" t="str">
        <x:v>Block workflow at gate; create evidence completion task; escalate after SLA breach.</x:v>
      </x:c>
      <x:c r="J5" s="12" t="str">
        <x:v>Lead Engineer</x:v>
      </x:c>
      <x:c r="K5" s="12" t="str">
        <x:v>Mitigating</x:v>
      </x:c>
      <x:c r="L5" s="26" t="n">
        <x:v>46203</x:v>
      </x:c>
    </x:row>
    <x:row r="6">
      <x:c r="A6" s="24" t="n">
        <x:v>5</x:v>
      </x:c>
      <x:c r="B6" s="24" t="str">
        <x:v>FML-001</x:v>
      </x:c>
      <x:c r="C6" s="24" t="str">
        <x:v>Formula validation risk</x:v>
      </x:c>
      <x:c r="D6" s="24" t="str">
        <x:v>Unapproved formula version is used by the calculation engine.</x:v>
      </x:c>
      <x:c r="E6" s="24" t="n">
        <x:v>4</x:v>
      </x:c>
      <x:c r="F6" s="24" t="n">
        <x:v>5</x:v>
      </x:c>
      <x:c r="G6" s="24" t="n">
        <x:v>20</x:v>
      </x:c>
      <x:c r="H6" s="12" t="str">
        <x:v>Calculation engine must require active engineer-approved formula_version_id and pass validation workbook test cases.</x:v>
      </x:c>
      <x:c r="I6" s="12" t="str">
        <x:v>Disable calculation run; rollback to last approved formula version; notify Lead Engineer and IT Admin.</x:v>
      </x:c>
      <x:c r="J6" s="12" t="str">
        <x:v>Lead Engineer</x:v>
      </x:c>
      <x:c r="K6" s="12" t="str">
        <x:v>Mitigating</x:v>
      </x:c>
      <x:c r="L6" s="26" t="n">
        <x:v>46203</x:v>
      </x:c>
    </x:row>
    <x:row r="7">
      <x:c r="A7" s="24" t="n">
        <x:v>6</x:v>
      </x:c>
      <x:c r="B7" s="24" t="str">
        <x:v>SEC-001</x:v>
      </x:c>
      <x:c r="C7" s="24" t="str">
        <x:v>Security risk</x:v>
      </x:c>
      <x:c r="D7" s="24" t="str">
        <x:v>Unauthorized user accesses restricted evidence files.</x:v>
      </x:c>
      <x:c r="E7" s="24" t="n">
        <x:v>4</x:v>
      </x:c>
      <x:c r="F7" s="24" t="n">
        <x:v>5</x:v>
      </x:c>
      <x:c r="G7" s="24" t="n">
        <x:v>20</x:v>
      </x:c>
      <x:c r="H7" s="12" t="str">
        <x:v>Generate short-lived signed URLs only after AIM RBAC check; no public bucket access.</x:v>
      </x:c>
      <x:c r="I7" s="12" t="str">
        <x:v>Revoke URLs, rotate credentials, review audit logs, notify security owner.</x:v>
      </x:c>
      <x:c r="J7" s="12" t="str">
        <x:v>IT Admin</x:v>
      </x:c>
      <x:c r="K7" s="12" t="str">
        <x:v>Mitigating</x:v>
      </x:c>
      <x:c r="L7" s="26" t="n">
        <x:v>46203</x:v>
      </x:c>
    </x:row>
    <x:row r="8">
      <x:c r="A8" s="24" t="n">
        <x:v>7</x:v>
      </x:c>
      <x:c r="B8" s="24" t="str">
        <x:v>ADP-001</x:v>
      </x:c>
      <x:c r="C8" s="24" t="str">
        <x:v>User adoption risk</x:v>
      </x:c>
      <x:c r="D8" s="24" t="str">
        <x:v>Inspectors and engineers continue using spreadsheets outside AIM.</x:v>
      </x:c>
      <x:c r="E8" s="24" t="n">
        <x:v>4</x:v>
      </x:c>
      <x:c r="F8" s="24" t="n">
        <x:v>4</x:v>
      </x:c>
      <x:c r="G8" s="24" t="n">
        <x:v>16</x:v>
      </x:c>
      <x:c r="H8" s="12" t="str">
        <x:v>Provide role-based training, import templates, fast upload, and clear review queues.</x:v>
      </x:c>
      <x:c r="I8" s="12" t="str">
        <x:v>Run migration/backfill session; assign data steward to support first inspections.</x:v>
      </x:c>
      <x:c r="J8" s="12" t="str">
        <x:v>Management</x:v>
      </x:c>
      <x:c r="K8" s="12" t="str">
        <x:v>Open</x:v>
      </x:c>
      <x:c r="L8" s="26" t="n">
        <x:v>46218</x:v>
      </x:c>
    </x:row>
    <x:row r="9">
      <x:c r="A9" s="24" t="n">
        <x:v>8</x:v>
      </x:c>
      <x:c r="B9" s="24" t="str">
        <x:v>DQ-001</x:v>
      </x:c>
      <x:c r="C9" s="24" t="str">
        <x:v>Data quality risk</x:v>
      </x:c>
      <x:c r="D9" s="24" t="str">
        <x:v>Required engineering fields are missing or inconsistent.</x:v>
      </x:c>
      <x:c r="E9" s="24" t="n">
        <x:v>4</x:v>
      </x:c>
      <x:c r="F9" s="24" t="n">
        <x:v>4</x:v>
      </x:c>
      <x:c r="G9" s="24" t="n">
        <x:v>16</x:v>
      </x:c>
      <x:c r="H9" s="12" t="str">
        <x:v>Mandatory field validation, staging quality checks, and completeness checklist per module.</x:v>
      </x:c>
      <x:c r="I9" s="12" t="str">
        <x:v>Create review task; request missing source document/evidence from Inspector.</x:v>
      </x:c>
      <x:c r="J9" s="12" t="str">
        <x:v>Engineer</x:v>
      </x:c>
      <x:c r="K9" s="12" t="str">
        <x:v>Open</x:v>
      </x:c>
      <x:c r="L9" s="26" t="n">
        <x:v>46203</x:v>
      </x:c>
    </x:row>
    <x:row r="10">
      <x:c r="A10" s="24" t="n">
        <x:v>9</x:v>
      </x:c>
      <x:c r="B10" s="24" t="str">
        <x:v>SCP-001</x:v>
      </x:c>
      <x:c r="C10" s="24" t="str">
        <x:v>Scope creep risk</x:v>
      </x:c>
      <x:c r="D10" s="24" t="str">
        <x:v>MVP expands into full RBI, FFS, or production CMMS before core gates are stable.</x:v>
      </x:c>
      <x:c r="E10" s="24" t="n">
        <x:v>4</x:v>
      </x:c>
      <x:c r="F10" s="24" t="n">
        <x:v>4</x:v>
      </x:c>
      <x:c r="G10" s="24" t="n">
        <x:v>16</x:v>
      </x:c>
      <x:c r="H10" s="12" t="str">
        <x:v>Maintain explicit out-of-scope list and change control board; defer advanced modules to roadmap.</x:v>
      </x:c>
      <x:c r="I10" s="12" t="str">
        <x:v>Re-baseline sprint backlog and obtain sponsor approval for scope trade-offs.</x:v>
      </x:c>
      <x:c r="J10" s="12" t="str">
        <x:v>Product Owner</x:v>
      </x:c>
      <x:c r="K10" s="12" t="str">
        <x:v>Open</x:v>
      </x:c>
      <x:c r="L10" s="26" t="n">
        <x:v>46203</x:v>
      </x:c>
    </x:row>
    <x:row r="11">
      <x:c r="A11" s="24" t="n">
        <x:v>10</x:v>
      </x:c>
      <x:c r="B11" s="24" t="str">
        <x:v>AIX-002</x:v>
      </x:c>
      <x:c r="C11" s="24" t="str">
        <x:v>AI extraction risk</x:v>
      </x:c>
      <x:c r="D11" s="24" t="str">
        <x:v>AI output is promoted directly into final tables.</x:v>
      </x:c>
      <x:c r="E11" s="24" t="n">
        <x:v>3</x:v>
      </x:c>
      <x:c r="F11" s="24" t="n">
        <x:v>5</x:v>
      </x:c>
      <x:c r="G11" s="24" t="n">
        <x:v>15</x:v>
      </x:c>
      <x:c r="H11" s="12" t="str">
        <x:v>API must only accept extraction output into extraction_fields and staging_records; final promotion endpoint requires reviewer approval.</x:v>
      </x:c>
      <x:c r="I11" s="12" t="str">
        <x:v>Disable promotion endpoint; audit all affected rows; revert final records to previous version.</x:v>
      </x:c>
      <x:c r="J11" s="12" t="str">
        <x:v>IT Admin</x:v>
      </x:c>
      <x:c r="K11" s="12" t="str">
        <x:v>Mitigating</x:v>
      </x:c>
      <x:c r="L11" s="26" t="n">
        <x:v>46203</x:v>
      </x:c>
    </x:row>
  </x:sheetData>
  <x:conditionalFormatting sqref="G2:G11">
    <x:cfRule type="dataBar" priority="1">
      <x:dataBar>
        <x:cfvo type="min"/>
        <x:cfvo type="max"/>
        <x:color rgb="DC2626"/>
      </x:dataBar>
      <x:extLst>
        <x:ext xmlns:x14="http://schemas.microsoft.com/office/spreadsheetml/2009/9/main" uri="{B025F937-C7B1-47D3-B67F-A62EFF666E3E}">
          <x14:id>{18F139EE-FFF1-6097-8DC9-B27DDB75C42E}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d193900f1084b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8F139EE-FFF1-6097-8DC9-B27DDB75C42E}">
            <x14:dataBar gradient="1">
              <x14:cfvo type="min"/>
              <x14:cfvo type="max"/>
              <x14:fillColor rgb="DC2626"/>
            </x14:dataBar>
          </x14:cfRule>
          <xm:sqref>G2:G11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28" t="str">
        <x:v>Severity \ Likelihood</x:v>
      </x:c>
      <x:c r="B1" s="28" t="n">
        <x:v>1</x:v>
      </x:c>
      <x:c r="C1" s="28" t="n">
        <x:v>2</x:v>
      </x:c>
      <x:c r="D1" s="28" t="n">
        <x:v>3</x:v>
      </x:c>
      <x:c r="E1" s="28" t="n">
        <x:v>4</x:v>
      </x:c>
      <x:c r="F1" s="28" t="n">
        <x:v>5</x:v>
      </x:c>
    </x:row>
    <x:row r="2">
      <x:c r="A2" s="38" t="n">
        <x:v>5</x:v>
      </x:c>
      <x:c r="B2" s="24" t="n">
        <x:v>5</x:v>
      </x:c>
      <x:c r="C2" s="24" t="n">
        <x:v>10</x:v>
      </x:c>
      <x:c r="D2" s="24" t="n">
        <x:v>15</x:v>
      </x:c>
      <x:c r="E2" s="24" t="n">
        <x:v>20</x:v>
      </x:c>
      <x:c r="F2" s="24" t="n">
        <x:v>25</x:v>
      </x:c>
    </x:row>
    <x:row r="3">
      <x:c r="A3" s="38" t="n">
        <x:v>4</x:v>
      </x:c>
      <x:c r="B3" s="24" t="n">
        <x:v>4</x:v>
      </x:c>
      <x:c r="C3" s="24" t="n">
        <x:v>8</x:v>
      </x:c>
      <x:c r="D3" s="24" t="n">
        <x:v>12</x:v>
      </x:c>
      <x:c r="E3" s="24" t="n">
        <x:v>16</x:v>
      </x:c>
      <x:c r="F3" s="24" t="n">
        <x:v>20</x:v>
      </x:c>
    </x:row>
    <x:row r="4">
      <x:c r="A4" s="38" t="n">
        <x:v>3</x:v>
      </x:c>
      <x:c r="B4" s="24" t="n">
        <x:v>3</x:v>
      </x:c>
      <x:c r="C4" s="24" t="n">
        <x:v>6</x:v>
      </x:c>
      <x:c r="D4" s="24" t="n">
        <x:v>9</x:v>
      </x:c>
      <x:c r="E4" s="24" t="n">
        <x:v>12</x:v>
      </x:c>
      <x:c r="F4" s="24" t="n">
        <x:v>15</x:v>
      </x:c>
    </x:row>
    <x:row r="5">
      <x:c r="A5" s="38" t="n">
        <x:v>2</x:v>
      </x:c>
      <x:c r="B5" s="24" t="n">
        <x:v>2</x:v>
      </x:c>
      <x:c r="C5" s="24" t="n">
        <x:v>4</x:v>
      </x:c>
      <x:c r="D5" s="24" t="n">
        <x:v>6</x:v>
      </x:c>
      <x:c r="E5" s="24" t="n">
        <x:v>8</x:v>
      </x:c>
      <x:c r="F5" s="24" t="n">
        <x:v>10</x:v>
      </x:c>
    </x:row>
    <x:row r="6">
      <x:c r="A6" s="38" t="n">
        <x:v>1</x:v>
      </x:c>
      <x:c r="B6" s="24" t="n">
        <x:v>1</x:v>
      </x:c>
      <x:c r="C6" s="24" t="n">
        <x:v>2</x:v>
      </x:c>
      <x:c r="D6" s="24" t="n">
        <x:v>3</x:v>
      </x:c>
      <x:c r="E6" s="24" t="n">
        <x:v>4</x:v>
      </x:c>
      <x:c r="F6" s="24" t="n">
        <x:v>5</x:v>
      </x:c>
    </x:row>
    <x:row r="7">
      <x:c r="A7" s="12"/>
      <x:c r="B7" s="12"/>
      <x:c r="C7" s="12"/>
      <x:c r="D7" s="12"/>
      <x:c r="E7" s="12"/>
      <x:c r="F7" s="12"/>
    </x:row>
    <x:row r="8">
      <x:c r="A8" s="39" t="str">
        <x:v>Score Range</x:v>
      </x:c>
      <x:c r="B8" s="39" t="str">
        <x:v>Rating</x:v>
      </x:c>
      <x:c r="C8" s="12"/>
      <x:c r="D8" s="12"/>
      <x:c r="E8" s="12"/>
      <x:c r="F8" s="12"/>
    </x:row>
    <x:row r="9">
      <x:c r="A9" s="12" t="str">
        <x:v>1-5</x:v>
      </x:c>
      <x:c r="B9" s="12" t="str">
        <x:v>Low</x:v>
      </x:c>
      <x:c r="C9" s="12"/>
      <x:c r="D9" s="12"/>
      <x:c r="E9" s="12"/>
      <x:c r="F9" s="12"/>
    </x:row>
    <x:row r="10">
      <x:c r="A10" s="12" t="str">
        <x:v>6-10</x:v>
      </x:c>
      <x:c r="B10" s="12" t="str">
        <x:v>Medium</x:v>
      </x:c>
      <x:c r="C10" s="12"/>
      <x:c r="D10" s="12"/>
      <x:c r="E10" s="12"/>
      <x:c r="F10" s="12"/>
    </x:row>
    <x:row r="11">
      <x:c r="A11" s="12" t="str">
        <x:v>11-15</x:v>
      </x:c>
      <x:c r="B11" s="12" t="str">
        <x:v>High</x:v>
      </x:c>
      <x:c r="C11" s="12"/>
      <x:c r="D11" s="12"/>
      <x:c r="E11" s="12"/>
      <x:c r="F11" s="12"/>
    </x:row>
    <x:row r="12">
      <x:c r="A12" s="12" t="str">
        <x:v>16-25</x:v>
      </x:c>
      <x:c r="B12" s="12" t="str">
        <x:v>Critical</x:v>
      </x:c>
      <x:c r="C12" s="12"/>
      <x:c r="D12" s="12"/>
      <x:c r="E12" s="12"/>
      <x:c r="F12" s="12"/>
    </x:row>
  </x:sheetData>
  <x:conditionalFormatting sqref="B2:F6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4" hidden="0" customWidth="1"/>
    <x:col min="4" max="4" width="12" hidden="0" customWidth="1"/>
    <x:col min="5" max="5" width="14" hidden="0" customWidth="1"/>
    <x:col min="6" max="6" width="10" hidden="0" customWidth="1"/>
    <x:col min="7" max="7" width="14" hidden="0" customWidth="1"/>
    <x:col min="8" max="8" width="10" hidden="0" customWidth="1"/>
  </x:cols>
  <x:sheetData>
    <x:row r="1">
      <x:c r="A1" s="28" t="str">
        <x:v>category</x:v>
      </x:c>
      <x:c r="B1" s="28" t="str">
        <x:v>risk_count</x:v>
      </x:c>
      <x:c r="C1" s="28" t="str">
        <x:v>critical_count</x:v>
      </x:c>
      <x:c r="D1" s="28" t="str">
        <x:v>high_count</x:v>
      </x:c>
      <x:c r="E1" s="28" t="str">
        <x:v>medium_count</x:v>
      </x:c>
      <x:c r="F1" s="28" t="str">
        <x:v>low_count</x:v>
      </x:c>
      <x:c r="G1" s="28" t="str">
        <x:v>average_score</x:v>
      </x:c>
      <x:c r="H1" s="28" t="str">
        <x:v>max_score</x:v>
      </x:c>
    </x:row>
    <x:row r="2">
      <x:c r="A2" s="12" t="str">
        <x:v>Engineering risk</x:v>
      </x:c>
      <x:c r="B2" s="24" t="n">
        <x:f>COUNTIF(Risk_Register!$B:$B,A2)</x:f>
        <x:v>2</x:v>
      </x:c>
      <x:c r="C2" s="24" t="n">
        <x:f>COUNTIFS(Risk_Register!$B:$B,A2,Risk_Register!$H:$H,"&gt;=16")</x:f>
        <x:v>1</x:v>
      </x:c>
      <x:c r="D2" s="24" t="n">
        <x:f>COUNTIFS(Risk_Register!$B:$B,A2,Risk_Register!$H:$H,"&gt;=11",Risk_Register!$H:$H,"&lt;=15")</x:f>
        <x:v>1</x:v>
      </x:c>
      <x:c r="E2" s="24" t="n">
        <x:f>COUNTIFS(Risk_Register!$B:$B,A2,Risk_Register!$H:$H,"&gt;=6",Risk_Register!$H:$H,"&lt;=10")</x:f>
        <x:v>0</x:v>
      </x:c>
      <x:c r="F2" s="24" t="n">
        <x:f>COUNTIFS(Risk_Register!$B:$B,A2,Risk_Register!$H:$H,"&lt;=5")</x:f>
        <x:v>0</x:v>
      </x:c>
      <x:c r="G2" s="42" t="n">
        <x:f>IFERROR(SUMIF(Risk_Register!$B:$B,A2,Risk_Register!$H:$H)/COUNTIF(Risk_Register!$B:$B,A2),0)</x:f>
        <x:v>16</x:v>
      </x:c>
      <x:c r="H2" s="24" t="n">
        <x:f>MAXIFS(Risk_Register!$H:$H,Risk_Register!$B:$B,A2)</x:f>
        <x:v>20</x:v>
      </x:c>
    </x:row>
    <x:row r="3">
      <x:c r="A3" s="12" t="str">
        <x:v>Formula validation risk</x:v>
      </x:c>
      <x:c r="B3" s="24" t="n">
        <x:f>COUNTIF(Risk_Register!$B:$B,A3)</x:f>
        <x:v>2</x:v>
      </x:c>
      <x:c r="C3" s="24" t="n">
        <x:f>COUNTIFS(Risk_Register!$B:$B,A3,Risk_Register!$H:$H,"&gt;=16")</x:f>
        <x:v>1</x:v>
      </x:c>
      <x:c r="D3" s="24" t="n">
        <x:f>COUNTIFS(Risk_Register!$B:$B,A3,Risk_Register!$H:$H,"&gt;=11",Risk_Register!$H:$H,"&lt;=15")</x:f>
        <x:v>1</x:v>
      </x:c>
      <x:c r="E3" s="24" t="n">
        <x:f>COUNTIFS(Risk_Register!$B:$B,A3,Risk_Register!$H:$H,"&gt;=6",Risk_Register!$H:$H,"&lt;=10")</x:f>
        <x:v>0</x:v>
      </x:c>
      <x:c r="F3" s="24" t="n">
        <x:f>COUNTIFS(Risk_Register!$B:$B,A3,Risk_Register!$H:$H,"&lt;=5")</x:f>
        <x:v>0</x:v>
      </x:c>
      <x:c r="G3" s="42" t="n">
        <x:f>IFERROR(SUMIF(Risk_Register!$B:$B,A3,Risk_Register!$H:$H)/COUNTIF(Risk_Register!$B:$B,A3),0)</x:f>
        <x:v>17.5</x:v>
      </x:c>
      <x:c r="H3" s="24" t="n">
        <x:f>MAXIFS(Risk_Register!$H:$H,Risk_Register!$B:$B,A3)</x:f>
        <x:v>20</x:v>
      </x:c>
    </x:row>
    <x:row r="4">
      <x:c r="A4" s="12" t="str">
        <x:v>AI extraction risk</x:v>
      </x:c>
      <x:c r="B4" s="24" t="n">
        <x:f>COUNTIF(Risk_Register!$B:$B,A4)</x:f>
        <x:v>2</x:v>
      </x:c>
      <x:c r="C4" s="24" t="n">
        <x:f>COUNTIFS(Risk_Register!$B:$B,A4,Risk_Register!$H:$H,"&gt;=16")</x:f>
        <x:v>1</x:v>
      </x:c>
      <x:c r="D4" s="24" t="n">
        <x:f>COUNTIFS(Risk_Register!$B:$B,A4,Risk_Register!$H:$H,"&gt;=11",Risk_Register!$H:$H,"&lt;=15")</x:f>
        <x:v>1</x:v>
      </x:c>
      <x:c r="E4" s="24" t="n">
        <x:f>COUNTIFS(Risk_Register!$B:$B,A4,Risk_Register!$H:$H,"&gt;=6",Risk_Register!$H:$H,"&lt;=10")</x:f>
        <x:v>0</x:v>
      </x:c>
      <x:c r="F4" s="24" t="n">
        <x:f>COUNTIFS(Risk_Register!$B:$B,A4,Risk_Register!$H:$H,"&lt;=5")</x:f>
        <x:v>0</x:v>
      </x:c>
      <x:c r="G4" s="42" t="n">
        <x:f>IFERROR(SUMIF(Risk_Register!$B:$B,A4,Risk_Register!$H:$H)/COUNTIF(Risk_Register!$B:$B,A4),0)</x:f>
        <x:v>17.5</x:v>
      </x:c>
      <x:c r="H4" s="24" t="n">
        <x:f>MAXIFS(Risk_Register!$H:$H,Risk_Register!$B:$B,A4)</x:f>
        <x:v>20</x:v>
      </x:c>
    </x:row>
    <x:row r="5">
      <x:c r="A5" s="12" t="str">
        <x:v>Data quality risk</x:v>
      </x:c>
      <x:c r="B5" s="24" t="n">
        <x:f>COUNTIF(Risk_Register!$B:$B,A5)</x:f>
        <x:v>2</x:v>
      </x:c>
      <x:c r="C5" s="24" t="n">
        <x:f>COUNTIFS(Risk_Register!$B:$B,A5,Risk_Register!$H:$H,"&gt;=16")</x:f>
        <x:v>1</x:v>
      </x:c>
      <x:c r="D5" s="24" t="n">
        <x:f>COUNTIFS(Risk_Register!$B:$B,A5,Risk_Register!$H:$H,"&gt;=11",Risk_Register!$H:$H,"&lt;=15")</x:f>
        <x:v>1</x:v>
      </x:c>
      <x:c r="E5" s="24" t="n">
        <x:f>COUNTIFS(Risk_Register!$B:$B,A5,Risk_Register!$H:$H,"&gt;=6",Risk_Register!$H:$H,"&lt;=10")</x:f>
        <x:v>0</x:v>
      </x:c>
      <x:c r="F5" s="24" t="n">
        <x:f>COUNTIFS(Risk_Register!$B:$B,A5,Risk_Register!$H:$H,"&lt;=5")</x:f>
        <x:v>0</x:v>
      </x:c>
      <x:c r="G5" s="42" t="n">
        <x:f>IFERROR(SUMIF(Risk_Register!$B:$B,A5,Risk_Register!$H:$H)/COUNTIF(Risk_Register!$B:$B,A5),0)</x:f>
        <x:v>14</x:v>
      </x:c>
      <x:c r="H5" s="24" t="n">
        <x:f>MAXIFS(Risk_Register!$H:$H,Risk_Register!$B:$B,A5)</x:f>
        <x:v>16</x:v>
      </x:c>
    </x:row>
    <x:row r="6">
      <x:c r="A6" s="12" t="str">
        <x:v>Evidence traceability risk</x:v>
      </x:c>
      <x:c r="B6" s="24" t="n">
        <x:f>COUNTIF(Risk_Register!$B:$B,A6)</x:f>
        <x:v>2</x:v>
      </x:c>
      <x:c r="C6" s="24" t="n">
        <x:f>COUNTIFS(Risk_Register!$B:$B,A6,Risk_Register!$H:$H,"&gt;=16")</x:f>
        <x:v>1</x:v>
      </x:c>
      <x:c r="D6" s="24" t="n">
        <x:f>COUNTIFS(Risk_Register!$B:$B,A6,Risk_Register!$H:$H,"&gt;=11",Risk_Register!$H:$H,"&lt;=15")</x:f>
        <x:v>1</x:v>
      </x:c>
      <x:c r="E6" s="24" t="n">
        <x:f>COUNTIFS(Risk_Register!$B:$B,A6,Risk_Register!$H:$H,"&gt;=6",Risk_Register!$H:$H,"&lt;=10")</x:f>
        <x:v>0</x:v>
      </x:c>
      <x:c r="F6" s="24" t="n">
        <x:f>COUNTIFS(Risk_Register!$B:$B,A6,Risk_Register!$H:$H,"&lt;=5")</x:f>
        <x:v>0</x:v>
      </x:c>
      <x:c r="G6" s="42" t="n">
        <x:f>IFERROR(SUMIF(Risk_Register!$B:$B,A6,Risk_Register!$H:$H)/COUNTIF(Risk_Register!$B:$B,A6),0)</x:f>
        <x:v>17.5</x:v>
      </x:c>
      <x:c r="H6" s="24" t="n">
        <x:f>MAXIFS(Risk_Register!$H:$H,Risk_Register!$B:$B,A6)</x:f>
        <x:v>20</x:v>
      </x:c>
    </x:row>
    <x:row r="7">
      <x:c r="A7" s="12" t="str">
        <x:v>Security risk</x:v>
      </x:c>
      <x:c r="B7" s="24" t="n">
        <x:f>COUNTIF(Risk_Register!$B:$B,A7)</x:f>
        <x:v>2</x:v>
      </x:c>
      <x:c r="C7" s="24" t="n">
        <x:f>COUNTIFS(Risk_Register!$B:$B,A7,Risk_Register!$H:$H,"&gt;=16")</x:f>
        <x:v>1</x:v>
      </x:c>
      <x:c r="D7" s="24" t="n">
        <x:f>COUNTIFS(Risk_Register!$B:$B,A7,Risk_Register!$H:$H,"&gt;=11",Risk_Register!$H:$H,"&lt;=15")</x:f>
        <x:v>1</x:v>
      </x:c>
      <x:c r="E7" s="24" t="n">
        <x:f>COUNTIFS(Risk_Register!$B:$B,A7,Risk_Register!$H:$H,"&gt;=6",Risk_Register!$H:$H,"&lt;=10")</x:f>
        <x:v>0</x:v>
      </x:c>
      <x:c r="F7" s="24" t="n">
        <x:f>COUNTIFS(Risk_Register!$B:$B,A7,Risk_Register!$H:$H,"&lt;=5")</x:f>
        <x:v>0</x:v>
      </x:c>
      <x:c r="G7" s="42" t="n">
        <x:f>IFERROR(SUMIF(Risk_Register!$B:$B,A7,Risk_Register!$H:$H)/COUNTIF(Risk_Register!$B:$B,A7),0)</x:f>
        <x:v>16</x:v>
      </x:c>
      <x:c r="H7" s="24" t="n">
        <x:f>MAXIFS(Risk_Register!$H:$H,Risk_Register!$B:$B,A7)</x:f>
        <x:v>20</x:v>
      </x:c>
    </x:row>
    <x:row r="8">
      <x:c r="A8" s="12" t="str">
        <x:v>n8n workflow risk</x:v>
      </x:c>
      <x:c r="B8" s="24" t="n">
        <x:f>COUNTIF(Risk_Register!$B:$B,A8)</x:f>
        <x:v>2</x:v>
      </x:c>
      <x:c r="C8" s="24" t="n">
        <x:f>COUNTIFS(Risk_Register!$B:$B,A8,Risk_Register!$H:$H,"&gt;=16")</x:f>
        <x:v>0</x:v>
      </x:c>
      <x:c r="D8" s="24" t="n">
        <x:f>COUNTIFS(Risk_Register!$B:$B,A8,Risk_Register!$H:$H,"&gt;=11",Risk_Register!$H:$H,"&lt;=15")</x:f>
        <x:v>2</x:v>
      </x:c>
      <x:c r="E8" s="24" t="n">
        <x:f>COUNTIFS(Risk_Register!$B:$B,A8,Risk_Register!$H:$H,"&gt;=6",Risk_Register!$H:$H,"&lt;=10")</x:f>
        <x:v>0</x:v>
      </x:c>
      <x:c r="F8" s="24" t="n">
        <x:f>COUNTIFS(Risk_Register!$B:$B,A8,Risk_Register!$H:$H,"&lt;=5")</x:f>
        <x:v>0</x:v>
      </x:c>
      <x:c r="G8" s="42" t="n">
        <x:f>IFERROR(SUMIF(Risk_Register!$B:$B,A8,Risk_Register!$H:$H)/COUNTIF(Risk_Register!$B:$B,A8),0)</x:f>
        <x:v>13.5</x:v>
      </x:c>
      <x:c r="H8" s="24" t="n">
        <x:f>MAXIFS(Risk_Register!$H:$H,Risk_Register!$B:$B,A8)</x:f>
        <x:v>15</x:v>
      </x:c>
    </x:row>
    <x:row r="9">
      <x:c r="A9" s="12" t="str">
        <x:v>CMMS integration risk</x:v>
      </x:c>
      <x:c r="B9" s="24" t="n">
        <x:f>COUNTIF(Risk_Register!$B:$B,A9)</x:f>
        <x:v>2</x:v>
      </x:c>
      <x:c r="C9" s="24" t="n">
        <x:f>COUNTIFS(Risk_Register!$B:$B,A9,Risk_Register!$H:$H,"&gt;=16")</x:f>
        <x:v>0</x:v>
      </x:c>
      <x:c r="D9" s="24" t="n">
        <x:f>COUNTIFS(Risk_Register!$B:$B,A9,Risk_Register!$H:$H,"&gt;=11",Risk_Register!$H:$H,"&lt;=15")</x:f>
        <x:v>2</x:v>
      </x:c>
      <x:c r="E9" s="24" t="n">
        <x:f>COUNTIFS(Risk_Register!$B:$B,A9,Risk_Register!$H:$H,"&gt;=6",Risk_Register!$H:$H,"&lt;=10")</x:f>
        <x:v>0</x:v>
      </x:c>
      <x:c r="F9" s="24" t="n">
        <x:f>COUNTIFS(Risk_Register!$B:$B,A9,Risk_Register!$H:$H,"&lt;=5")</x:f>
        <x:v>0</x:v>
      </x:c>
      <x:c r="G9" s="42" t="n">
        <x:f>IFERROR(SUMIF(Risk_Register!$B:$B,A9,Risk_Register!$H:$H)/COUNTIF(Risk_Register!$B:$B,A9),0)</x:f>
        <x:v>12</x:v>
      </x:c>
      <x:c r="H9" s="24" t="n">
        <x:f>MAXIFS(Risk_Register!$H:$H,Risk_Register!$B:$B,A9)</x:f>
        <x:v>12</x:v>
      </x:c>
    </x:row>
    <x:row r="10">
      <x:c r="A10" s="12" t="str">
        <x:v>User adoption risk</x:v>
      </x:c>
      <x:c r="B10" s="24" t="n">
        <x:f>COUNTIF(Risk_Register!$B:$B,A10)</x:f>
        <x:v>2</x:v>
      </x:c>
      <x:c r="C10" s="24" t="n">
        <x:f>COUNTIFS(Risk_Register!$B:$B,A10,Risk_Register!$H:$H,"&gt;=16")</x:f>
        <x:v>1</x:v>
      </x:c>
      <x:c r="D10" s="24" t="n">
        <x:f>COUNTIFS(Risk_Register!$B:$B,A10,Risk_Register!$H:$H,"&gt;=11",Risk_Register!$H:$H,"&lt;=15")</x:f>
        <x:v>0</x:v>
      </x:c>
      <x:c r="E10" s="24" t="n">
        <x:f>COUNTIFS(Risk_Register!$B:$B,A10,Risk_Register!$H:$H,"&gt;=6",Risk_Register!$H:$H,"&lt;=10")</x:f>
        <x:v>1</x:v>
      </x:c>
      <x:c r="F10" s="24" t="n">
        <x:f>COUNTIFS(Risk_Register!$B:$B,A10,Risk_Register!$H:$H,"&lt;=5")</x:f>
        <x:v>0</x:v>
      </x:c>
      <x:c r="G10" s="42" t="n">
        <x:f>IFERROR(SUMIF(Risk_Register!$B:$B,A10,Risk_Register!$H:$H)/COUNTIF(Risk_Register!$B:$B,A10),0)</x:f>
        <x:v>12.5</x:v>
      </x:c>
      <x:c r="H10" s="24" t="n">
        <x:f>MAXIFS(Risk_Register!$H:$H,Risk_Register!$B:$B,A10)</x:f>
        <x:v>16</x:v>
      </x:c>
    </x:row>
    <x:row r="11">
      <x:c r="A11" s="12" t="str">
        <x:v>Deployment and operation risk</x:v>
      </x:c>
      <x:c r="B11" s="24" t="n">
        <x:f>COUNTIF(Risk_Register!$B:$B,A11)</x:f>
        <x:v>2</x:v>
      </x:c>
      <x:c r="C11" s="24" t="n">
        <x:f>COUNTIFS(Risk_Register!$B:$B,A11,Risk_Register!$H:$H,"&gt;=16")</x:f>
        <x:v>0</x:v>
      </x:c>
      <x:c r="D11" s="24" t="n">
        <x:f>COUNTIFS(Risk_Register!$B:$B,A11,Risk_Register!$H:$H,"&gt;=11",Risk_Register!$H:$H,"&lt;=15")</x:f>
        <x:v>2</x:v>
      </x:c>
      <x:c r="E11" s="24" t="n">
        <x:f>COUNTIFS(Risk_Register!$B:$B,A11,Risk_Register!$H:$H,"&gt;=6",Risk_Register!$H:$H,"&lt;=10")</x:f>
        <x:v>0</x:v>
      </x:c>
      <x:c r="F11" s="24" t="n">
        <x:f>COUNTIFS(Risk_Register!$B:$B,A11,Risk_Register!$H:$H,"&lt;=5")</x:f>
        <x:v>0</x:v>
      </x:c>
      <x:c r="G11" s="42" t="n">
        <x:f>IFERROR(SUMIF(Risk_Register!$B:$B,A11,Risk_Register!$H:$H)/COUNTIF(Risk_Register!$B:$B,A11),0)</x:f>
        <x:v>13.5</x:v>
      </x:c>
      <x:c r="H11" s="24" t="n">
        <x:f>MAXIFS(Risk_Register!$H:$H,Risk_Register!$B:$B,A11)</x:f>
        <x:v>15</x:v>
      </x:c>
    </x:row>
    <x:row r="12">
      <x:c r="A12" s="12" t="str">
        <x:v>Scope creep risk</x:v>
      </x:c>
      <x:c r="B12" s="24" t="n">
        <x:f>COUNTIF(Risk_Register!$B:$B,A12)</x:f>
        <x:v>2</x:v>
      </x:c>
      <x:c r="C12" s="24" t="n">
        <x:f>COUNTIFS(Risk_Register!$B:$B,A12,Risk_Register!$H:$H,"&gt;=16")</x:f>
        <x:v>1</x:v>
      </x:c>
      <x:c r="D12" s="24" t="n">
        <x:f>COUNTIFS(Risk_Register!$B:$B,A12,Risk_Register!$H:$H,"&gt;=11",Risk_Register!$H:$H,"&lt;=15")</x:f>
        <x:v>1</x:v>
      </x:c>
      <x:c r="E12" s="24" t="n">
        <x:f>COUNTIFS(Risk_Register!$B:$B,A12,Risk_Register!$H:$H,"&gt;=6",Risk_Register!$H:$H,"&lt;=10")</x:f>
        <x:v>0</x:v>
      </x:c>
      <x:c r="F12" s="24" t="n">
        <x:f>COUNTIFS(Risk_Register!$B:$B,A12,Risk_Register!$H:$H,"&lt;=5")</x:f>
        <x:v>0</x:v>
      </x:c>
      <x:c r="G12" s="42" t="n">
        <x:f>IFERROR(SUMIF(Risk_Register!$B:$B,A12,Risk_Register!$H:$H)/COUNTIF(Risk_Register!$B:$B,A12),0)</x:f>
        <x:v>14</x:v>
      </x:c>
      <x:c r="H12" s="24" t="n">
        <x:f>MAXIFS(Risk_Register!$H:$H,Risk_Register!$B:$B,A12)</x:f>
        <x:v>16</x:v>
      </x:c>
    </x:row>
    <x:row r="13">
      <x:c r="A13" s="12" t="str">
        <x:v>Compliance and audit risk</x:v>
      </x:c>
      <x:c r="B13" s="24" t="n">
        <x:f>COUNTIF(Risk_Register!$B:$B,A13)</x:f>
        <x:v>2</x:v>
      </x:c>
      <x:c r="C13" s="24" t="n">
        <x:f>COUNTIFS(Risk_Register!$B:$B,A13,Risk_Register!$H:$H,"&gt;=16")</x:f>
        <x:v>1</x:v>
      </x:c>
      <x:c r="D13" s="24" t="n">
        <x:f>COUNTIFS(Risk_Register!$B:$B,A13,Risk_Register!$H:$H,"&gt;=11",Risk_Register!$H:$H,"&lt;=15")</x:f>
        <x:v>1</x:v>
      </x:c>
      <x:c r="E13" s="24" t="n">
        <x:f>COUNTIFS(Risk_Register!$B:$B,A13,Risk_Register!$H:$H,"&gt;=6",Risk_Register!$H:$H,"&lt;=10")</x:f>
        <x:v>0</x:v>
      </x:c>
      <x:c r="F13" s="24" t="n">
        <x:f>COUNTIFS(Risk_Register!$B:$B,A13,Risk_Register!$H:$H,"&lt;=5")</x:f>
        <x:v>0</x:v>
      </x:c>
      <x:c r="G13" s="42" t="n">
        <x:f>IFERROR(SUMIF(Risk_Register!$B:$B,A13,Risk_Register!$H:$H)/COUNTIF(Risk_Register!$B:$B,A13),0)</x:f>
        <x:v>17.5</x:v>
      </x:c>
      <x:c r="H13" s="24" t="n">
        <x:f>MAXIFS(Risk_Register!$H:$H,Risk_Register!$B:$B,A13)</x:f>
        <x:v>20</x:v>
      </x:c>
    </x:row>
  </x:sheetData>
  <x:conditionalFormatting sqref="H2:H13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6af7c208609442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58" hidden="0" customWidth="1"/>
    <x:col min="4" max="4" width="18" hidden="0" customWidth="1"/>
    <x:col min="5" max="5" width="14" hidden="0" customWidth="1"/>
    <x:col min="6" max="6" width="16" hidden="0" customWidth="1"/>
    <x:col min="7" max="7" width="45" hidden="0" customWidth="1"/>
    <x:col min="8" max="8" width="42" hidden="0" customWidth="1"/>
  </x:cols>
  <x:sheetData>
    <x:row r="1">
      <x:c r="A1" s="28" t="str">
        <x:v>action_id</x:v>
      </x:c>
      <x:c r="B1" s="28" t="str">
        <x:v>risk_id</x:v>
      </x:c>
      <x:c r="C1" s="28" t="str">
        <x:v>mitigation_action</x:v>
      </x:c>
      <x:c r="D1" s="28" t="str">
        <x:v>owner</x:v>
      </x:c>
      <x:c r="E1" s="28" t="str">
        <x:v>due_date</x:v>
      </x:c>
      <x:c r="F1" s="28" t="str">
        <x:v>status</x:v>
      </x:c>
      <x:c r="G1" s="28" t="str">
        <x:v>dependency</x:v>
      </x:c>
      <x:c r="H1" s="28" t="str">
        <x:v>notes</x:v>
      </x:c>
    </x:row>
    <x:row r="2">
      <x:c r="A2" s="12" t="str">
        <x:v>ACT-001</x:v>
      </x:c>
      <x:c r="B2" s="12" t="str">
        <x:v>AIX-001</x:v>
      </x:c>
      <x:c r="C2" s="12" t="str">
        <x:v>Require source reference, confidence, data quality checks, suspicious value rules, and engineer review before promotion.</x:v>
      </x:c>
      <x:c r="D2" s="12" t="str">
        <x:v>Engineer</x:v>
      </x:c>
      <x:c r="E2" s="26" t="n">
        <x:v>46218</x:v>
      </x:c>
      <x:c r="F2" s="12" t="str">
        <x:v>In Progress</x:v>
      </x:c>
      <x:c r="G2" s="12" t="str">
        <x:v>Requires AIM backend, RBAC, audit, and evidence gate coverage</x:v>
      </x:c>
      <x:c r="H2" s="12" t="str">
        <x:v>Owner to update weekly until status is Closed or Accepted.</x:v>
      </x:c>
    </x:row>
    <x:row r="3">
      <x:c r="A3" s="12" t="str">
        <x:v>ACT-002</x:v>
      </x:c>
      <x:c r="B3" s="12" t="str">
        <x:v>CMP-001</x:v>
      </x:c>
      <x:c r="C3" s="12" t="str">
        <x:v>Centralize audit middleware/service; every protected endpoint requires x-audit-event-generated mapping and tests.</x:v>
      </x:c>
      <x:c r="D3" s="12" t="str">
        <x:v>IT Admin</x:v>
      </x:c>
      <x:c r="E3" s="26" t="n">
        <x:v>46203</x:v>
      </x:c>
      <x:c r="F3" s="12" t="str">
        <x:v>In Progress</x:v>
      </x:c>
      <x:c r="G3" s="12" t="str">
        <x:v>Requires AIM backend, RBAC, audit, and evidence gate coverage</x:v>
      </x:c>
      <x:c r="H3" s="12" t="str">
        <x:v>Owner to update weekly until status is Closed or Accepted.</x:v>
      </x:c>
    </x:row>
    <x:row r="4">
      <x:c r="A4" s="12" t="str">
        <x:v>ACT-003</x:v>
      </x:c>
      <x:c r="B4" s="12" t="str">
        <x:v>ENG-001</x:v>
      </x:c>
      <x:c r="C4" s="12" t="str">
        <x:v>Enforce maker-checker approval workflow, RBAC protection, evidence checklist, and audit logging before decision finalization.</x:v>
      </x:c>
      <x:c r="D4" s="12" t="str">
        <x:v>Lead Engineer</x:v>
      </x:c>
      <x:c r="E4" s="26" t="n">
        <x:v>46203</x:v>
      </x:c>
      <x:c r="F4" s="12" t="str">
        <x:v>In Progress</x:v>
      </x:c>
      <x:c r="G4" s="12" t="str">
        <x:v>Requires AIM backend, RBAC, audit, and evidence gate coverage</x:v>
      </x:c>
      <x:c r="H4" s="12" t="str">
        <x:v>Owner to update weekly until status is Closed or Accepted.</x:v>
      </x:c>
    </x:row>
    <x:row r="5">
      <x:c r="A5" s="12" t="str">
        <x:v>ACT-004</x:v>
      </x:c>
      <x:c r="B5" s="12" t="str">
        <x:v>EVD-001</x:v>
      </x:c>
      <x:c r="C5" s="12" t="str">
        <x:v>Make evidence_links mandatory before NDT finalization, calculation approval, integrity decision, and report issue.</x:v>
      </x:c>
      <x:c r="D5" s="12" t="str">
        <x:v>Lead Engineer</x:v>
      </x:c>
      <x:c r="E5" s="26" t="n">
        <x:v>46218</x:v>
      </x:c>
      <x:c r="F5" s="12" t="str">
        <x:v>In Progress</x:v>
      </x:c>
      <x:c r="G5" s="12" t="str">
        <x:v>Requires AIM backend, RBAC, audit, and evidence gate coverage</x:v>
      </x:c>
      <x:c r="H5" s="12" t="str">
        <x:v>Owner to update weekly until status is Closed or Accepted.</x:v>
      </x:c>
    </x:row>
    <x:row r="6">
      <x:c r="A6" s="12" t="str">
        <x:v>ACT-005</x:v>
      </x:c>
      <x:c r="B6" s="12" t="str">
        <x:v>FML-001</x:v>
      </x:c>
      <x:c r="C6" s="12" t="str">
        <x:v>Calculation engine must require active engineer-approved formula_version_id and pass validation workbook test cases.</x:v>
      </x:c>
      <x:c r="D6" s="12" t="str">
        <x:v>Lead Engineer</x:v>
      </x:c>
      <x:c r="E6" s="26" t="n">
        <x:v>46203</x:v>
      </x:c>
      <x:c r="F6" s="12" t="str">
        <x:v>In Progress</x:v>
      </x:c>
      <x:c r="G6" s="12" t="str">
        <x:v>Requires AIM backend, RBAC, audit, and evidence gate coverage</x:v>
      </x:c>
      <x:c r="H6" s="12" t="str">
        <x:v>Owner to update weekly until status is Closed or Accepted.</x:v>
      </x:c>
    </x:row>
    <x:row r="7">
      <x:c r="A7" s="12" t="str">
        <x:v>ACT-006</x:v>
      </x:c>
      <x:c r="B7" s="12" t="str">
        <x:v>SEC-001</x:v>
      </x:c>
      <x:c r="C7" s="12" t="str">
        <x:v>Generate short-lived signed URLs only after AIM RBAC check; no public bucket access.</x:v>
      </x:c>
      <x:c r="D7" s="12" t="str">
        <x:v>IT Admin</x:v>
      </x:c>
      <x:c r="E7" s="26" t="n">
        <x:v>46218</x:v>
      </x:c>
      <x:c r="F7" s="12" t="str">
        <x:v>In Progress</x:v>
      </x:c>
      <x:c r="G7" s="12" t="str">
        <x:v>Requires AIM backend, RBAC, audit, and evidence gate coverage</x:v>
      </x:c>
      <x:c r="H7" s="12" t="str">
        <x:v>Owner to update weekly until status is Closed or Accepted.</x:v>
      </x:c>
    </x:row>
    <x:row r="8">
      <x:c r="A8" s="12" t="str">
        <x:v>ACT-007</x:v>
      </x:c>
      <x:c r="B8" s="12" t="str">
        <x:v>ADP-001</x:v>
      </x:c>
      <x:c r="C8" s="12" t="str">
        <x:v>Provide role-based training, import templates, fast upload, and clear review queues.</x:v>
      </x:c>
      <x:c r="D8" s="12" t="str">
        <x:v>Management</x:v>
      </x:c>
      <x:c r="E8" s="26" t="n">
        <x:v>46218</x:v>
      </x:c>
      <x:c r="F8" s="12" t="str">
        <x:v>Open</x:v>
      </x:c>
      <x:c r="G8" s="12" t="str">
        <x:v>Requires AIM backend, RBAC, audit, and evidence gate coverage</x:v>
      </x:c>
      <x:c r="H8" s="12" t="str">
        <x:v>Owner to update weekly until status is Closed or Accepted.</x:v>
      </x:c>
    </x:row>
    <x:row r="9">
      <x:c r="A9" s="12" t="str">
        <x:v>ACT-008</x:v>
      </x:c>
      <x:c r="B9" s="12" t="str">
        <x:v>DQ-001</x:v>
      </x:c>
      <x:c r="C9" s="12" t="str">
        <x:v>Mandatory field validation, staging quality checks, and completeness checklist per module.</x:v>
      </x:c>
      <x:c r="D9" s="12" t="str">
        <x:v>Engineer</x:v>
      </x:c>
      <x:c r="E9" s="26" t="n">
        <x:v>46218</x:v>
      </x:c>
      <x:c r="F9" s="12" t="str">
        <x:v>Open</x:v>
      </x:c>
      <x:c r="G9" s="12" t="str">
        <x:v>Requires AIM backend, RBAC, audit, and evidence gate coverage</x:v>
      </x:c>
      <x:c r="H9" s="12" t="str">
        <x:v>Owner to update weekly until status is Closed or Accepted.</x:v>
      </x:c>
    </x:row>
    <x:row r="10">
      <x:c r="A10" s="12" t="str">
        <x:v>ACT-009</x:v>
      </x:c>
      <x:c r="B10" s="12" t="str">
        <x:v>SCP-001</x:v>
      </x:c>
      <x:c r="C10" s="12" t="str">
        <x:v>Maintain explicit out-of-scope list and change control board; defer advanced modules to roadmap.</x:v>
      </x:c>
      <x:c r="D10" s="12" t="str">
        <x:v>Product Owner</x:v>
      </x:c>
      <x:c r="E10" s="26" t="n">
        <x:v>46218</x:v>
      </x:c>
      <x:c r="F10" s="12" t="str">
        <x:v>Open</x:v>
      </x:c>
      <x:c r="G10" s="12" t="str">
        <x:v>Requires AIM backend, RBAC, audit, and evidence gate coverage</x:v>
      </x:c>
      <x:c r="H10" s="12" t="str">
        <x:v>Owner to update weekly until status is Closed or Accepted.</x:v>
      </x:c>
    </x:row>
    <x:row r="11">
      <x:c r="A11" s="12" t="str">
        <x:v>ACT-010</x:v>
      </x:c>
      <x:c r="B11" s="12" t="str">
        <x:v>AIX-002</x:v>
      </x:c>
      <x:c r="C11" s="12" t="str">
        <x:v>API must only accept extraction output into extraction_fields and staging_records; final promotion endpoint requires reviewer approval.</x:v>
      </x:c>
      <x:c r="D11" s="12" t="str">
        <x:v>IT Admin</x:v>
      </x:c>
      <x:c r="E11" s="26" t="n">
        <x:v>46218</x:v>
      </x:c>
      <x:c r="F11" s="12" t="str">
        <x:v>In Progress</x:v>
      </x:c>
      <x:c r="G11" s="12" t="str">
        <x:v>Requires AIM backend, RBAC, audit, and evidence gate coverage</x:v>
      </x:c>
      <x:c r="H11" s="12" t="str">
        <x:v>Owner to update weekly until status is Closed or Accepted.</x:v>
      </x:c>
    </x:row>
  </x:sheetData>
  <x:dataValidations count="1">
    <x:dataValidation type="list" sqref="F2:F30">
      <x:formula1>"Open,In Progress,Blocked,Closed,Accepted"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622153e6804a0c"/>
  </x:tableParts>
</x:worksheet>
</file>